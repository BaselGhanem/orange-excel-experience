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e6d95792fd43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COVER" sheetId="1" r:id="R90d3f8404ab4490e"/>
    <x:sheet xmlns:r="http://schemas.openxmlformats.org/officeDocument/2006/relationships" name="01_ROADMAP" sheetId="2" r:id="Rbfd459baffe24007"/>
    <x:sheet xmlns:r="http://schemas.openxmlformats.org/officeDocument/2006/relationships" name="02_RAW_DATA" sheetId="3" r:id="Re076d9c8b41c4265"/>
    <x:sheet xmlns:r="http://schemas.openxmlformats.org/officeDocument/2006/relationships" name="03_TEXT_LAB" sheetId="4" r:id="R7cfa82666458433a"/>
    <x:sheet xmlns:r="http://schemas.openxmlformats.org/officeDocument/2006/relationships" name="04_QUALITY_CHECKS" sheetId="5" r:id="R48a9fc9040da4ab9"/>
    <x:sheet xmlns:r="http://schemas.openxmlformats.org/officeDocument/2006/relationships" name="05_DATE_LAB" sheetId="6" r:id="R1aa87cf4c73444a9"/>
    <x:sheet xmlns:r="http://schemas.openxmlformats.org/officeDocument/2006/relationships" name="06_COMBINED_CASE" sheetId="7" r:id="Re1f685c16316444b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<x:sst xmlns:x="http://schemas.openxmlformats.org/spreadsheetml/2006/main">
  <x:si>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ADVANCED TEXT &amp; DATE FUNCTIONS</x:t>
  </x:si>
  <x:si>
    <x:t xml:space="preserve">تنظيف النصوص وفهم التواريخ وتحويل البيانات الخام إلى حقول جاهزة للتحليل</x:t>
  </x:si>
  <x:si>
    <x:t xml:space="preserve">One operational feed. Hidden fields, inconsistent IDs, and dates that can mislead an SLA report.</x:t>
  </x:si>
  <x:si>
    <x:t xml:space="preserve">MODULE 03  •  DAY 1  •  ORANGE JORDAN  •  08 SEP 2026</x:t>
  </x:si>
  <x:si>
    <x:t xml:space="preserve">BY THE END OF THIS MODULE, YOU CAN:</x:t>
  </x:si>
  <x:si>
    <x:t xml:space="preserve">01  •  PARSE STRUCTURED TEXT
TEXTBEFORE • TEXTAFTER • TEXTSPLIT
Extract fields without manual Text to Columns.</x:t>
  </x:si>
  <x:si>
    <x:t xml:space="preserve">Parse structured text</x:t>
  </x:si>
  <x:si>
    <x:t xml:space="preserve">02  •  DETECT TYPE PROBLEMS
ISTEXT • ISNONTEXT
Flag IDs that look right but behave differently.</x:t>
  </x:si>
  <x:si>
    <x:t xml:space="preserve">Detect data-type problems</x:t>
  </x:si>
  <x:si>
    <x:t xml:space="preserve">TEXTBEFORE • TEXTAFTER • TEXTSPLIT</x:t>
  </x:si>
  <x:si>
    <x:t xml:space="preserve">ISTEXT • ISNONTEXT</x:t>
  </x:si>
  <x:si>
    <x:t xml:space="preserve">Extract fields without manual Text to Columns.</x:t>
  </x:si>
  <x:si>
    <x:t xml:space="preserve">Flag IDs that look right but behave differently.</x:t>
  </x:si>
  <x:si>
    <x:t xml:space="preserve">03  •  BUILD DATE INTELLIGENCE
YEAR • MONTH • TODAY • NETWORKDAYS
Turn dates into reporting and SLA logic.</x:t>
  </x:si>
  <x:si>
    <x:t xml:space="preserve">Build date intelligence</x:t>
  </x:si>
  <x:si>
    <x:t xml:space="preserve">04  •  COMBINE THE LOGIC
TEXT + QUALITY + DATE
Clean one feed into analysis-ready output.</x:t>
  </x:si>
  <x:si>
    <x:t xml:space="preserve">Combine the logic</x:t>
  </x:si>
  <x:si>
    <x:t xml:space="preserve">YEAR • MONTH • TODAY • NETWORKDAYS</x:t>
  </x:si>
  <x:si>
    <x:t xml:space="preserve">TEXT + QUALITY + DATE</x:t>
  </x:si>
  <x:si>
    <x:t xml:space="preserve">Turn raw dates into reporting and SLA logic.</x:t>
  </x:si>
  <x:si>
    <x:t xml:space="preserve">Clean one feed into analysis-ready output.</x:t>
  </x:si>
  <x:si>
    <x:t xml:space="preserve">CODERZ ACADEMY  •  ADVANCED EXCEL BUSINESS EXPERIENCE</x:t>
  </x:si>
  <x:si>
    <x:t xml:space="preserve">MODULE 03 ROADMAP</x:t>
  </x:si>
  <x:si>
    <x:t xml:space="preserve">من بيانات خام إلى ملف جاهز للتحليل</x:t>
  </x:si>
  <x:si>
    <x:t xml:space="preserve">YOUR MISSION  •  Follow the business sequence. Open the source feed only when a practice sheet asks you to.</x:t>
  </x:si>
  <x:si>
    <x:t xml:space="preserve">المطلوب منك  •  امشِ مع تسلسل الحالة العملية، وافتح بيانات المصدر فقط عندما يطلب منك التمرين.</x:t>
  </x:si>
  <x:si>
    <x:t xml:space="preserve">#</x:t>
  </x:si>
  <x:si>
    <x:t xml:space="preserve">STAGE</x:t>
  </x:si>
  <x:si>
    <x:t xml:space="preserve">SHEET</x:t>
  </x:si>
  <x:si>
    <x:t xml:space="preserve">WHAT YOU WILL DO</x:t>
  </x:si>
  <x:si>
    <x:t xml:space="preserve">BUSINESS VALUE</x:t>
  </x:si>
  <x:si>
    <x:t xml:space="preserve">THE FEED</x:t>
  </x:si>
  <x:si>
    <x:t xml:space="preserve">02_RAW_DATA</x:t>
  </x:si>
  <x:si>
    <x:t xml:space="preserve">Inspect a semi-structured service-order feed</x:t>
  </x:si>
  <x:si>
    <x:t xml:space="preserve">See the cleaning problem before touching a formula</x:t>
  </x:si>
  <x:si>
    <x:t xml:space="preserve">PARSE</x:t>
  </x:si>
  <x:si>
    <x:t xml:space="preserve">03_TEXT_LAB</x:t>
  </x:si>
  <x:si>
    <x:t xml:space="preserve">Extract Region, Service, Customer ID and Order Type</x:t>
  </x:si>
  <x:si>
    <x:t xml:space="preserve">Turn one text field into usable dimensions</x:t>
  </x:si>
  <x:si>
    <x:t xml:space="preserve">VALIDATE</x:t>
  </x:si>
  <x:si>
    <x:t xml:space="preserve">04_QUALITY_CHECKS</x:t>
  </x:si>
  <x:si>
    <x:t xml:space="preserve">Detect mixed Account Reference data types</x:t>
  </x:si>
  <x:si>
    <x:t xml:space="preserve">Stop hidden type problems before analysis</x:t>
  </x:si>
  <x:si>
    <x:t xml:space="preserve">DATE INTELLIGENCE</x:t>
  </x:si>
  <x:si>
    <x:t xml:space="preserve">05_DATE_LAB</x:t>
  </x:si>
  <x:si>
    <x:t xml:space="preserve">Build Year, Month, business-day duration and SLA status</x:t>
  </x:si>
  <x:si>
    <x:t xml:space="preserve">Convert dates into operational insight</x:t>
  </x:si>
  <x:si>
    <x:t xml:space="preserve">FINAL CASE</x:t>
  </x:si>
  <x:si>
    <x:t xml:space="preserve">06_COMBINED_CASE</x:t>
  </x:si>
  <x:si>
    <x:t xml:space="preserve">Clean and enrich the feed as one business task</x:t>
  </x:si>
  <x:si>
    <x:t xml:space="preserve">Prove the whole workflow under time pressure</x:t>
  </x:si>
  <x:si>
    <x:t xml:space="preserve">REFERENCE  •  07_ANSWER_KEY  |  08_TRAINER_FLOW</x:t>
  </x:si>
  <x:si>
    <x:t xml:space="preserve">WORKING RULE  •  The source feed is intentionally imperfect. Do not “fix” the raw data manually — solve the business problem with formulas.</x:t>
  </x:si>
  <x:si>
    <x:t xml:space="preserve">قاعدة العمل  •  بيانات المصدر فيها مشاكل مقصودة. لا تصلحها يدوياً؛ خلّي المعادلات تكشف المشكلة وتعالج المطلوب.</x:t>
  </x:si>
  <x:si>
    <x:t xml:space="preserve">BUSINESS CASE 01  •  THE MESSY SERVICE-ORDER FEED</x:t>
  </x:si>
  <x:si>
    <x:t xml:space="preserve">ملف واحد... لكن داخله حقول مخفية، أنواع بيانات غير متناسقة، وتواريخ تحتاج تفسير</x:t>
  </x:si>
  <x:si>
    <x:t xml:space="preserve">YOUR MISSION  •  Inspect the feed. Identify what makes it hard to analyze. Do not edit the source data.</x:t>
  </x:si>
  <x:si>
    <x:t xml:space="preserve">المطلوب منك  •  راقب البيانات وحدد أين المشكلة. لا تعدّل بيانات المصدر.</x:t>
  </x:si>
  <x:si>
    <x:t xml:space="preserve">THE BUSINESS PAIN  •  Region + Service + Customer ID + Order Type are trapped inside one Composite Key. Some Account References are numbers. SLA decisions depend on dates.</x:t>
  </x:si>
  <x:si>
    <x:t xml:space="preserve">السؤال: لو المدير طلب Report حسب Region وService وحالة SLA... هل هذا الملف جاهز للتحليل كما هو؟</x:t>
  </x:si>
  <x:si>
    <x:t xml:space="preserve">Order ID</x:t>
  </x:si>
  <x:si>
    <x:t xml:space="preserve">Composite Key</x:t>
  </x:si>
  <x:si>
    <x:t xml:space="preserve">Account Reference</x:t>
  </x:si>
  <x:si>
    <x:t xml:space="preserve">Start Date</x:t>
  </x:si>
  <x:si>
    <x:t xml:space="preserve">Due Date</x:t>
  </x:si>
  <x:si>
    <x:t xml:space="preserve">Close Date</x:t>
  </x:si>
  <x:si>
    <x:t xml:space="preserve">Priority</x:t>
  </x:si>
  <x:si>
    <x:t xml:space="preserve">ORD-0001</x:t>
  </x:si>
  <x:si>
    <x:t xml:space="preserve">Balqa|Fiber|C30001|UPG</x:t>
  </x:si>
  <x:si>
    <x:t xml:space="preserve">ACC-77017</x:t>
  </x:si>
  <x:si>
    <x:t xml:space="preserve">P1</x:t>
  </x:si>
  <x:si>
    <x:t xml:space="preserve">ORD-0002</x:t>
  </x:si>
  <x:si>
    <x:t xml:space="preserve">Irbid|5G Home|C30002|MIG</x:t>
  </x:si>
  <x:si>
    <x:t xml:space="preserve">ACC-50654</x:t>
  </x:si>
  <x:si>
    <x:t xml:space="preserve">P3</x:t>
  </x:si>
  <x:si>
    <x:t xml:space="preserve">ORD-0003</x:t>
  </x:si>
  <x:si>
    <x:t xml:space="preserve">Aqaba|Fiber|C30003|ACT</x:t>
  </x:si>
  <x:si>
    <x:t xml:space="preserve">ACC-25202</x:t>
  </x:si>
  <x:si>
    <x:t xml:space="preserve">P2</x:t>
  </x:si>
  <x:si>
    <x:t xml:space="preserve">ORD-0004</x:t>
  </x:si>
  <x:si>
    <x:t xml:space="preserve">Balqa|Mobile|C30004|UPG</x:t>
  </x:si>
  <x:si>
    <x:t xml:space="preserve">ACC-25655</x:t>
  </x:si>
  <x:si>
    <x:t xml:space="preserve">ORD-0005</x:t>
  </x:si>
  <x:si>
    <x:t xml:space="preserve">Irbid|Mobile|C30005|REN</x:t>
  </x:si>
  <x:si>
    <x:t xml:space="preserve">ACC-31884</x:t>
  </x:si>
  <x:si>
    <x:t xml:space="preserve">ORD-0006</x:t>
  </x:si>
  <x:si>
    <x:t xml:space="preserve">Irbid|5G Home|C30006|ACT</x:t>
  </x:si>
  <x:si>
    <x:t xml:space="preserve">ORD-0007</x:t>
  </x:si>
  <x:si>
    <x:t xml:space="preserve">Balqa|Mobile|C30007|UPG</x:t>
  </x:si>
  <x:si>
    <x:t xml:space="preserve">ACC-75031</x:t>
  </x:si>
  <x:si>
    <x:t xml:space="preserve">ORD-0008</x:t>
  </x:si>
  <x:si>
    <x:t xml:space="preserve">Balqa|5G Home|C30008|ACT</x:t>
  </x:si>
  <x:si>
    <x:t xml:space="preserve">ACC-58193</x:t>
  </x:si>
  <x:si>
    <x:t xml:space="preserve">ORD-0009</x:t>
  </x:si>
  <x:si>
    <x:t xml:space="preserve">Zarqa|Mobile|C30009|ACT</x:t>
  </x:si>
  <x:si>
    <x:t xml:space="preserve">ACC-15772</x:t>
  </x:si>
  <x:si>
    <x:t xml:space="preserve">ORD-0010</x:t>
  </x:si>
  <x:si>
    <x:t xml:space="preserve">Irbid|Mobile|C30010|MIG</x:t>
  </x:si>
  <x:si>
    <x:t xml:space="preserve">ACC-33456</x:t>
  </x:si>
  <x:si>
    <x:t xml:space="preserve">ORD-0011</x:t>
  </x:si>
  <x:si>
    <x:t xml:space="preserve">Balqa|Enterprise Data|C30011|REN</x:t>
  </x:si>
  <x:si>
    <x:t xml:space="preserve">ACC-51934</x:t>
  </x:si>
  <x:si>
    <x:t xml:space="preserve">ORD-0012</x:t>
  </x:si>
  <x:si>
    <x:t xml:space="preserve">Amman|5G Home|C30012|ACT</x:t>
  </x:si>
  <x:si>
    <x:t xml:space="preserve">ORD-0013</x:t>
  </x:si>
  <x:si>
    <x:t xml:space="preserve">Balqa|Mobile|C30013|MIG</x:t>
  </x:si>
  <x:si>
    <x:t xml:space="preserve">ACC-50723</x:t>
  </x:si>
  <x:si>
    <x:t xml:space="preserve">ORD-0014</x:t>
  </x:si>
  <x:si>
    <x:t xml:space="preserve">Amman|Enterprise Data|C30014|ACT</x:t>
  </x:si>
  <x:si>
    <x:t xml:space="preserve">ACC-83899</x:t>
  </x:si>
  <x:si>
    <x:t xml:space="preserve">ORD-0015</x:t>
  </x:si>
  <x:si>
    <x:t xml:space="preserve">Balqa|Fiber|C30015|MIG</x:t>
  </x:si>
  <x:si>
    <x:t xml:space="preserve">ACC-35614</x:t>
  </x:si>
  <x:si>
    <x:t xml:space="preserve">ORD-0016</x:t>
  </x:si>
  <x:si>
    <x:t xml:space="preserve">Balqa|Fiber|C30016|REN</x:t>
  </x:si>
  <x:si>
    <x:t xml:space="preserve">ACC-40539</x:t>
  </x:si>
  <x:si>
    <x:t xml:space="preserve">ORD-0017</x:t>
  </x:si>
  <x:si>
    <x:t xml:space="preserve">Zarqa|Mobile|C30017|UPG</x:t>
  </x:si>
  <x:si>
    <x:t xml:space="preserve">ACC-50306</x:t>
  </x:si>
  <x:si>
    <x:t xml:space="preserve">ORD-0018</x:t>
  </x:si>
  <x:si>
    <x:t xml:space="preserve">Irbid|Fiber|C30018|MIG</x:t>
  </x:si>
  <x:si>
    <x:t xml:space="preserve">ORD-0019</x:t>
  </x:si>
  <x:si>
    <x:t xml:space="preserve">Amman|Fiber|C30019|MIG</x:t>
  </x:si>
  <x:si>
    <x:t xml:space="preserve">ACC-21128</x:t>
  </x:si>
  <x:si>
    <x:t xml:space="preserve">ORD-0020</x:t>
  </x:si>
  <x:si>
    <x:t xml:space="preserve">Amman|Fiber|C30020|MIG</x:t>
  </x:si>
  <x:si>
    <x:t xml:space="preserve">ACC-67014</x:t>
  </x:si>
  <x:si>
    <x:t xml:space="preserve">ORD-0021</x:t>
  </x:si>
  <x:si>
    <x:t xml:space="preserve">Irbid|Fiber|C30021|UPG</x:t>
  </x:si>
  <x:si>
    <x:t xml:space="preserve">ACC-52762</x:t>
  </x:si>
  <x:si>
    <x:t xml:space="preserve">ORD-0022</x:t>
  </x:si>
  <x:si>
    <x:t xml:space="preserve">Aqaba|5G Home|C30022|REN</x:t>
  </x:si>
  <x:si>
    <x:t xml:space="preserve">ACC-86638</x:t>
  </x:si>
  <x:si>
    <x:t xml:space="preserve">ORD-0023</x:t>
  </x:si>
  <x:si>
    <x:t xml:space="preserve">Irbid|Mobile|C30023|REN</x:t>
  </x:si>
  <x:si>
    <x:t xml:space="preserve">ACC-63282</x:t>
  </x:si>
  <x:si>
    <x:t xml:space="preserve">ORD-0024</x:t>
  </x:si>
  <x:si>
    <x:t xml:space="preserve">Balqa|5G Home|C30024|REN</x:t>
  </x:si>
  <x:si>
    <x:t xml:space="preserve">ORD-0025</x:t>
  </x:si>
  <x:si>
    <x:t xml:space="preserve">Amman|Fiber|C30025|UPG</x:t>
  </x:si>
  <x:si>
    <x:t xml:space="preserve">ACC-38183</x:t>
  </x:si>
  <x:si>
    <x:t xml:space="preserve">ORD-0026</x:t>
  </x:si>
  <x:si>
    <x:t xml:space="preserve">Irbid|Mobile|C30026|REN</x:t>
  </x:si>
  <x:si>
    <x:t xml:space="preserve">ACC-98759</x:t>
  </x:si>
  <x:si>
    <x:t xml:space="preserve">ORD-0027</x:t>
  </x:si>
  <x:si>
    <x:t xml:space="preserve">Zarqa|Fiber|C30027|ACT</x:t>
  </x:si>
  <x:si>
    <x:t xml:space="preserve">ACC-22415</x:t>
  </x:si>
  <x:si>
    <x:t xml:space="preserve">ORD-0028</x:t>
  </x:si>
  <x:si>
    <x:t xml:space="preserve">Amman|Fiber|C30028|ACT</x:t>
  </x:si>
  <x:si>
    <x:t xml:space="preserve">ACC-27133</x:t>
  </x:si>
  <x:si>
    <x:t xml:space="preserve">ORD-0029</x:t>
  </x:si>
  <x:si>
    <x:t xml:space="preserve">Aqaba|5G Home|C30029|ACT</x:t>
  </x:si>
  <x:si>
    <x:t xml:space="preserve">ACC-19828</x:t>
  </x:si>
  <x:si>
    <x:t xml:space="preserve">ORD-0030</x:t>
  </x:si>
  <x:si>
    <x:t xml:space="preserve">Amman|Fiber|C30030|MIG</x:t>
  </x:si>
  <x:si>
    <x:t xml:space="preserve">ORD-0031</x:t>
  </x:si>
  <x:si>
    <x:t xml:space="preserve">Amman|Enterprise Data|C30031|ACT</x:t>
  </x:si>
  <x:si>
    <x:t xml:space="preserve">ACC-61773</x:t>
  </x:si>
  <x:si>
    <x:t xml:space="preserve">ORD-0032</x:t>
  </x:si>
  <x:si>
    <x:t xml:space="preserve">Amman|Enterprise Data|C30032|MIG</x:t>
  </x:si>
  <x:si>
    <x:t xml:space="preserve">ACC-34530</x:t>
  </x:si>
  <x:si>
    <x:t xml:space="preserve">ORD-0033</x:t>
  </x:si>
  <x:si>
    <x:t xml:space="preserve">Zarqa|Enterprise Data|C30033|REN</x:t>
  </x:si>
  <x:si>
    <x:t xml:space="preserve">ACC-94840</x:t>
  </x:si>
  <x:si>
    <x:t xml:space="preserve">ORD-0034</x:t>
  </x:si>
  <x:si>
    <x:t xml:space="preserve">Aqaba|Enterprise Data|C30034|MIG</x:t>
  </x:si>
  <x:si>
    <x:t xml:space="preserve">ACC-60202</x:t>
  </x:si>
  <x:si>
    <x:t xml:space="preserve">ORD-0035</x:t>
  </x:si>
  <x:si>
    <x:t xml:space="preserve">Aqaba|Fiber|C30035|REN</x:t>
  </x:si>
  <x:si>
    <x:t xml:space="preserve">ACC-60134</x:t>
  </x:si>
  <x:si>
    <x:t xml:space="preserve">ORD-0036</x:t>
  </x:si>
  <x:si>
    <x:t xml:space="preserve">Zarqa|Enterprise Data|C30036|MIG</x:t>
  </x:si>
  <x:si>
    <x:t xml:space="preserve">ORD-0037</x:t>
  </x:si>
  <x:si>
    <x:t xml:space="preserve">Irbid|Mobile|C30037|UPG</x:t>
  </x:si>
  <x:si>
    <x:t xml:space="preserve">ACC-46822</x:t>
  </x:si>
  <x:si>
    <x:t xml:space="preserve">ORD-0038</x:t>
  </x:si>
  <x:si>
    <x:t xml:space="preserve">Aqaba|5G Home|C30038|REN</x:t>
  </x:si>
  <x:si>
    <x:t xml:space="preserve">ACC-96096</x:t>
  </x:si>
  <x:si>
    <x:t xml:space="preserve">ORD-0039</x:t>
  </x:si>
  <x:si>
    <x:t xml:space="preserve">Zarqa|Mobile|C30039|REN</x:t>
  </x:si>
  <x:si>
    <x:t xml:space="preserve">ACC-32768</x:t>
  </x:si>
  <x:si>
    <x:t xml:space="preserve">ORD-0040</x:t>
  </x:si>
  <x:si>
    <x:t xml:space="preserve">Irbid|5G Home|C30040|UPG</x:t>
  </x:si>
  <x:si>
    <x:t xml:space="preserve">ACC-84403</x:t>
  </x:si>
  <x:si>
    <x:t xml:space="preserve">ORD-0041</x:t>
  </x:si>
  <x:si>
    <x:t xml:space="preserve">Irbid|Fiber|C30041|MIG</x:t>
  </x:si>
  <x:si>
    <x:t xml:space="preserve">ACC-74282</x:t>
  </x:si>
  <x:si>
    <x:t xml:space="preserve">ORD-0042</x:t>
  </x:si>
  <x:si>
    <x:t xml:space="preserve">Amman|Mobile|C30042|REN</x:t>
  </x:si>
  <x:si>
    <x:t xml:space="preserve">ORD-0043</x:t>
  </x:si>
  <x:si>
    <x:t xml:space="preserve">Amman|5G Home|C30043|REN</x:t>
  </x:si>
  <x:si>
    <x:t xml:space="preserve">ACC-33260</x:t>
  </x:si>
  <x:si>
    <x:t xml:space="preserve">ORD-0044</x:t>
  </x:si>
  <x:si>
    <x:t xml:space="preserve">Amman|Mobile|C30044|REN</x:t>
  </x:si>
  <x:si>
    <x:t xml:space="preserve">ACC-24538</x:t>
  </x:si>
  <x:si>
    <x:t xml:space="preserve">ORD-0045</x:t>
  </x:si>
  <x:si>
    <x:t xml:space="preserve">Zarqa|Mobile|C30045|UPG</x:t>
  </x:si>
  <x:si>
    <x:t xml:space="preserve">ACC-86810</x:t>
  </x:si>
  <x:si>
    <x:t xml:space="preserve">ORD-0046</x:t>
  </x:si>
  <x:si>
    <x:t xml:space="preserve">Zarqa|5G Home|C30046|UPG</x:t>
  </x:si>
  <x:si>
    <x:t xml:space="preserve">ACC-93789</x:t>
  </x:si>
  <x:si>
    <x:t xml:space="preserve">ORD-0047</x:t>
  </x:si>
  <x:si>
    <x:t xml:space="preserve">Zarqa|Fiber|C30047|UPG</x:t>
  </x:si>
  <x:si>
    <x:t xml:space="preserve">ACC-59595</x:t>
  </x:si>
  <x:si>
    <x:t xml:space="preserve">ORD-0048</x:t>
  </x:si>
  <x:si>
    <x:t xml:space="preserve">Zarqa|Fiber|C30048|REN</x:t>
  </x:si>
  <x:si>
    <x:t xml:space="preserve">ORD-0049</x:t>
  </x:si>
  <x:si>
    <x:t xml:space="preserve">Irbid|5G Home|C30049|REN</x:t>
  </x:si>
  <x:si>
    <x:t xml:space="preserve">ACC-75035</x:t>
  </x:si>
  <x:si>
    <x:t xml:space="preserve">ORD-0050</x:t>
  </x:si>
  <x:si>
    <x:t xml:space="preserve">Zarqa|Mobile|C30050|REN</x:t>
  </x:si>
  <x:si>
    <x:t xml:space="preserve">ACC-93386</x:t>
  </x:si>
  <x:si>
    <x:t xml:space="preserve">ORD-0051</x:t>
  </x:si>
  <x:si>
    <x:t xml:space="preserve">Zarqa|Enterprise Data|C30051|ACT</x:t>
  </x:si>
  <x:si>
    <x:t xml:space="preserve">ACC-18885</x:t>
  </x:si>
  <x:si>
    <x:t xml:space="preserve">ORD-0052</x:t>
  </x:si>
  <x:si>
    <x:t xml:space="preserve">Zarqa|Mobile|C30052|ACT</x:t>
  </x:si>
  <x:si>
    <x:t xml:space="preserve">ACC-65004</x:t>
  </x:si>
  <x:si>
    <x:t xml:space="preserve">ORD-0053</x:t>
  </x:si>
  <x:si>
    <x:t xml:space="preserve">Aqaba|Enterprise Data|C30053|MIG</x:t>
  </x:si>
  <x:si>
    <x:t xml:space="preserve">ACC-23294</x:t>
  </x:si>
  <x:si>
    <x:t xml:space="preserve">ORD-0054</x:t>
  </x:si>
  <x:si>
    <x:t xml:space="preserve">Balqa|Fiber|C30054|REN</x:t>
  </x:si>
  <x:si>
    <x:t xml:space="preserve">ORD-0055</x:t>
  </x:si>
  <x:si>
    <x:t xml:space="preserve">Zarqa|5G Home|C30055|ACT</x:t>
  </x:si>
  <x:si>
    <x:t xml:space="preserve">ACC-59212</x:t>
  </x:si>
  <x:si>
    <x:t xml:space="preserve">ORD-0056</x:t>
  </x:si>
  <x:si>
    <x:t xml:space="preserve">Amman|Mobile|C30056|UPG</x:t>
  </x:si>
  <x:si>
    <x:t xml:space="preserve">ACC-14062</x:t>
  </x:si>
  <x:si>
    <x:t xml:space="preserve">ORD-0057</x:t>
  </x:si>
  <x:si>
    <x:t xml:space="preserve">Irbid|Enterprise Data|C30057|REN</x:t>
  </x:si>
  <x:si>
    <x:t xml:space="preserve">ACC-36941</x:t>
  </x:si>
  <x:si>
    <x:t xml:space="preserve">ORD-0058</x:t>
  </x:si>
  <x:si>
    <x:t xml:space="preserve">Aqaba|5G Home|C30058|UPG</x:t>
  </x:si>
  <x:si>
    <x:t xml:space="preserve">ACC-16505</x:t>
  </x:si>
  <x:si>
    <x:t xml:space="preserve">ORD-0059</x:t>
  </x:si>
  <x:si>
    <x:t xml:space="preserve">Balqa|Enterprise Data|C30059|REN</x:t>
  </x:si>
  <x:si>
    <x:t xml:space="preserve">ACC-66047</x:t>
  </x:si>
  <x:si>
    <x:t xml:space="preserve">ORD-0060</x:t>
  </x:si>
  <x:si>
    <x:t xml:space="preserve">Zarqa|Enterprise Data|C30060|REN</x:t>
  </x:si>
  <x:si>
    <x:t xml:space="preserve">BUSINESS CASE 02  •  ONE CELL. FOUR PIECES OF DATA.</x:t>
  </x:si>
  <x:si>
    <x:t xml:space="preserve">المعلومة موجودة... بس محبوسة داخل نص واحد</x:t>
  </x:si>
  <x:si>
    <x:t xml:space="preserve">YOUR MISSION  •  Parse the Composite Key into analysis-ready fields. Demo rows are solved; complete the highlighted practice area.</x:t>
  </x:si>
  <x:si>
    <x:t xml:space="preserve">المطلوب منك  •  فكّ المفتاح المركب إلى حقول واضحة. صفوف الـDemo جاهزة، والخلايا الصفراء عليك.</x:t>
  </x:si>
  <x:si>
    <x:t xml:space="preserve">Region?</x:t>
  </x:si>
  <x:si>
    <x:t xml:space="preserve">Service?</x:t>
  </x:si>
  <x:si>
    <x:t xml:space="preserve">Customer ID?</x:t>
  </x:si>
  <x:si>
    <x:t xml:space="preserve">Order Type?</x:t>
  </x:si>
  <x:si>
    <x:t xml:space="preserve">Manual Work</x:t>
  </x:si>
  <x:si>
    <x:t xml:space="preserve">QUICK WIN  •  FIRST FIELD</x:t>
  </x:si>
  <x:si>
    <x:t xml:space="preserve">Amman|Fiber|C30091|ACT</x:t>
  </x:si>
  <x:si>
    <x:t xml:space="preserve">?</x:t>
  </x:si>
  <x:si>
    <x:t xml:space="preserve">4 fields to extract</x:t>
  </x:si>
  <x:si>
    <x:t xml:space="preserve">Irbid|5G Home|C30092|MIG</x:t>
  </x:si>
  <x:si>
    <x:t xml:space="preserve">Repeat again</x:t>
  </x:si>
  <x:si>
    <x:t xml:space="preserve">Zarqa|Mobile|C30093|UPG</x:t>
  </x:si>
  <x:si>
    <x:t xml:space="preserve">And again...</x:t>
  </x:si>
  <x:si>
    <x:t xml:space="preserve">TEXTBEFORE
=TEXTBEFORE(text, delimiter, [instance_num])
Return what appears before a delimiter.</x:t>
  </x:si>
  <x:si>
    <x:t xml:space="preserve">TEXTAFTER
=TEXTAFTER(text, delimiter, [instance_num])
Return what appears after a delimiter.</x:t>
  </x:si>
  <x:si>
    <x:t xml:space="preserve">TEXTSPLIT
=TEXTSPLIT(text, col_delimiter, [row_delimiter])
Split one text value into multiple cells.</x:t>
  </x:si>
  <x:si>
    <x:t xml:space="preserve">THINKING RULE  •  Delimiter = where the structure changes.  instance_num = which occurrence of that delimiter you care about.</x:t>
  </x:si>
  <x:si>
    <x:t xml:space="preserve">Region</x:t>
  </x:si>
  <x:si>
    <x:t xml:space="preserve">After 1st |</x:t>
  </x:si>
  <x:si>
    <x:t xml:space="preserve">Service</x:t>
  </x:si>
  <x:si>
    <x:t xml:space="preserve">Customer ID</x:t>
  </x:si>
  <x:si>
    <x:t xml:space="preserve">Order Type</x:t>
  </x:si>
  <x:si>
    <x:t xml:space="preserve">TEXTSPLIT  •  ONE FORMULA → FOUR FIELDS</x:t>
  </x:si>
  <x:si>
    <x:t xml:space="preserve">Source</x:t>
  </x:si>
  <x:si>
    <x:t xml:space="preserve">Build ONE formula in I26: =TEXTSPLIT(H26,"|")
The result should spill horizontally.</x:t>
  </x:si>
  <x:si>
    <x:t xml:space="preserve">BUSINESS CASE 03  •  IT LOOKS LIKE AN ID. IS IT?</x:t>
  </x:si>
  <x:si>
    <x:t xml:space="preserve">شكلها ID... لكن Excel شايف بعضها Text وبعضها Number</x:t>
  </x:si>
  <x:si>
    <x:t xml:space="preserve">YOUR MISSION  •  Detect data-type inconsistencies before they break lookups, joins or reports. Complete the highlighted checks.</x:t>
  </x:si>
  <x:si>
    <x:t xml:space="preserve">المطلوب منك  •  اكشف اختلاف نوع البيانات قبل ما يسبب مشاكل بالبحث أو الربط أو التقارير.</x:t>
  </x:si>
  <x:si>
    <x:t xml:space="preserve">What You See</x:t>
  </x:si>
  <x:si>
    <x:t xml:space="preserve">What Excel Sees</x:t>
  </x:si>
  <x:si>
    <x:t xml:space="preserve">Risk</x:t>
  </x:si>
  <x:si>
    <x:t xml:space="preserve">QUICK WIN</x:t>
  </x:si>
  <x:si>
    <x:t xml:space="preserve">ORD-A</x:t>
  </x:si>
  <x:si>
    <x:t xml:space="preserve">Looks like an ID</x:t>
  </x:si>
  <x:si>
    <x:t xml:space="preserve">Text</x:t>
  </x:si>
  <x:si>
    <x:t xml:space="preserve">Low</x:t>
  </x:si>
  <x:si>
    <x:t xml:space="preserve">ORD-B</x:t>
  </x:si>
  <x:si>
    <x:t xml:space="preserve">Number</x:t>
  </x:si>
  <x:si>
    <x:t xml:space="preserve">Hidden type mismatch</x:t>
  </x:si>
  <x:si>
    <x:t xml:space="preserve">ORD-C</x:t>
  </x:si>
  <x:si>
    <x:t xml:space="preserve">ORD-D</x:t>
  </x:si>
  <x:si>
    <x:t xml:space="preserve">Business rule:
IF the Account Reference is text → Valid Text ID
Otherwise → Review Type</x:t>
  </x:si>
  <x:si>
    <x:t xml:space="preserve">ORD-E</x:t>
  </x:si>
  <x:si>
    <x:t xml:space="preserve">ISTEXT(value)
Returns TRUE only when Excel stores the value as text.
Business use: validate IDs, labels, imported codes.</x:t>
  </x:si>
  <x:si>
    <x:t xml:space="preserve">ISNONTEXT(value)
Returns TRUE for anything that is not text.
Important: numbers, dates and blanks are all non-text.</x:t>
  </x:si>
  <x:si>
    <x:t xml:space="preserve">ISTEXT</x:t>
  </x:si>
  <x:si>
    <x:t xml:space="preserve">ISNONTEXT</x:t>
  </x:si>
  <x:si>
    <x:t xml:space="preserve">Quality Flag</x:t>
  </x:si>
  <x:si>
    <x:t xml:space="preserve">BUSINESS CASE 04  •  CALENDAR DAYS CAN MISLEAD AN SLA REPORT</x:t>
  </x:si>
  <x:si>
    <x:t xml:space="preserve">الفرق بين تاريخين مش دائماً هو الرقم اللي بدك إياه</x:t>
  </x:si>
  <x:si>
    <x:t xml:space="preserve">YOUR MISSION  •  Turn raw dates into reporting fields and operational SLA logic. Complete the highlighted practice rows.</x:t>
  </x:si>
  <x:si>
    <x:t xml:space="preserve">المطلوب منك  •  حوّل التواريخ إلى حقول تقرير وSLA، وأكمل الخلايا الصفراء.</x:t>
  </x:si>
  <x:si>
    <x:t xml:space="preserve">Start</x:t>
  </x:si>
  <x:si>
    <x:t xml:space="preserve">Close</x:t>
  </x:si>
  <x:si>
    <x:t xml:space="preserve">Calendar Difference</x:t>
  </x:si>
  <x:si>
    <x:t xml:space="preserve">Business Days</x:t>
  </x:si>
  <x:si>
    <x:t xml:space="preserve">DATE INTELLIGENCE TOOLKIT</x:t>
  </x:si>
  <x:si>
    <x:t xml:space="preserve">YEAR(date)</x:t>
  </x:si>
  <x:si>
    <x:t xml:space="preserve">Reporting year</x:t>
  </x:si>
  <x:si>
    <x:t xml:space="preserve">REPORTING LABEL
=TEXT(StartDate,"mmm") → Jan
SLA DECISION
=IF(CloseDate&lt;=DueDate,"On Time","Late")</x:t>
  </x:si>
  <x:si>
    <x:t xml:space="preserve">MONTH(date)</x:t>
  </x:si>
  <x:si>
    <x:t xml:space="preserve">Month number</x:t>
  </x:si>
  <x:si>
    <x:t xml:space="preserve">Same dates. Two different questions.
Close - Start counts elapsed calendar days. NETWORKDAYS counts working days.</x:t>
  </x:si>
  <x:si>
    <x:t xml:space="preserve">TODAY()</x:t>
  </x:si>
  <x:si>
    <x:t xml:space="preserve">Today's date — updates automatically</x:t>
  </x:si>
  <x:si>
    <x:t xml:space="preserve">NETWORKDAYS(start,end,[holidays])</x:t>
  </x:si>
  <x:si>
    <x:t xml:space="preserve">Whole working days between two dates</x:t>
  </x:si>
  <x:si>
    <x:t xml:space="preserve">Due</x:t>
  </x:si>
  <x:si>
    <x:t xml:space="preserve">Year</x:t>
  </x:si>
  <x:si>
    <x:t xml:space="preserve">Month</x:t>
  </x:si>
  <x:si>
    <x:t xml:space="preserve">SLA Status</x:t>
  </x:si>
  <x:si>
    <x:t xml:space="preserve">TODAY() has no arguments.
It recalculates when the workbook recalculates.</x:t>
  </x:si>
  <x:si>
    <x:t xml:space="preserve">THE 2:50 PM SERVICE-ORDER RESCUE</x:t>
  </x:si>
  <x:si>
    <x:t xml:space="preserve">عندك عشر دقائق قبل الاجتماع... والملف لسه Raw</x:t>
  </x:si>
  <x:si>
    <x:t xml:space="preserve">YOUR MISSION  •  Work in pairs. Explain the business logic first, then build the formula. Use 02_RAW_DATA as your source.</x:t>
  </x:si>
  <x:si>
    <x:t xml:space="preserve">المطلوب منك  •  اشتغلوا أزواج: احكوا منطق الحل أولاً، ثم اكتبوا المعادلة. المصدر: 02_RAW_DATA.</x:t>
  </x:si>
  <x:si>
    <x:t xml:space="preserve">RULES  •  No manual Text to Columns  •  No manual typing of outputs  •  Do not repair the source feed  •  Reuse logic from Modules 01–03</x:t>
  </x:si>
  <x:si>
    <x:t xml:space="preserve">BUSINESS TASK</x:t>
  </x:si>
  <x:si>
    <x:t xml:space="preserve">EXPECTED OUTPUT</x:t>
  </x:si>
  <x:si>
    <x:t xml:space="preserve">STATUS</x:t>
  </x:si>
  <x:si>
    <x:t xml:space="preserve">TEAM CHECK
Before showing a formula, explain:
1. What is the business rule?
2. Which part of the data contains the answer?
3. What should happen on bad input?</x:t>
  </x:si>
  <x:si>
    <x:t xml:space="preserve">Extract Region from Composite Key</x:t>
  </x:si>
  <x:si>
    <x:t xml:space="preserve">Region field</x:t>
  </x:si>
  <x:si>
    <x:t xml:space="preserve">Not Started</x:t>
  </x:si>
  <x:si>
    <x:t xml:space="preserve">Extract Service from Composite Key</x:t>
  </x:si>
  <x:si>
    <x:t xml:space="preserve">Service field</x:t>
  </x:si>
  <x:si>
    <x:t xml:space="preserve">Extract Customer ID and Order Type</x:t>
  </x:si>
  <x:si>
    <x:t xml:space="preserve">Two clean fields</x:t>
  </x:si>
  <x:si>
    <x:t xml:space="preserve">Split all four Composite Key components using one dynamic formula</x:t>
  </x:si>
  <x:si>
    <x:t xml:space="preserve">4-column spill</x:t>
  </x:si>
  <x:si>
    <x:t xml:space="preserve">FINAL REFLECTION
Which cleaning step would you want Excel to repeat automatically every time a new file arrives?</x:t>
  </x:si>
  <x:si>
    <x:t xml:space="preserve">Flag Account References that are not stored as text</x:t>
  </x:si>
  <x:si>
    <x:t xml:space="preserve">Valid Text ID / Review Type</x:t>
  </x:si>
  <x:si>
    <x:t xml:space="preserve">Create Year and Month reporting fields from Start Date</x:t>
  </x:si>
  <x:si>
    <x:t xml:space="preserve">Year + Month label</x:t>
  </x:si>
  <x:si>
    <x:t xml:space="preserve">Calculate working days from Start Date to Close Date</x:t>
  </x:si>
  <x:si>
    <x:t xml:space="preserve">Business-day duration</x:t>
  </x:si>
  <x:si>
    <x:t xml:space="preserve">Classify each order as On Time or Late</x:t>
  </x:si>
  <x:si>
    <x:t xml:space="preserve">BRIDGE TO DAY 2
Tomorrow: Power Query turns this repeated cleaning logic into a refreshable process.</x:t>
  </x:si>
  <x:si>
    <x:t xml:space="preserve">BONUS: if a Composite Key is incomplete, return 'Check format' instead of an error</x:t>
  </x:si>
  <x:si>
    <x:t xml:space="preserve">Robust output</x:t>
  </x:si>
</x:sst>
</file>

<file path=xl/styles.xml><?xml version="1.0" encoding="utf-8"?>
<x:styleSheet xmlns:x="http://schemas.openxmlformats.org/spreadsheetml/2006/main">
  <x:numFmts count="1">
    <x:numFmt numFmtId="164" formatCode="dd\-mmm\-yyyy"/>
  </x:numFmts>
  <x:fonts count="22">
    <x:font>
      <x:sz val="11"/>
      <x:name val="Carlito"/>
    </x:font>
    <x:font>
      <x:sz val="10"/>
      <x:color rgb="FF25313B"/>
      <x:name val="Aptos"/>
    </x:font>
    <x:font>
      <x:b/>
      <x:sz val="10"/>
      <x:color rgb="FF25313B"/>
      <x:name val="Aptos"/>
    </x:font>
    <x:font>
      <x:b/>
      <x:sz val="22"/>
      <x:color rgb="FFFFFFFF"/>
      <x:name val="Aptos"/>
    </x:font>
    <x:font>
      <x:b/>
      <x:sz val="11"/>
      <x:color rgb="FFFF7900"/>
      <x:name val="Arial"/>
    </x:font>
    <x:font>
      <x:b/>
      <x:sz val="12"/>
      <x:color rgb="FF25313B"/>
      <x:name val="Aptos"/>
    </x:font>
    <x:font>
      <x:b/>
      <x:sz val="10"/>
      <x:color rgb="FFFFFFFF"/>
      <x:name val="Aptos"/>
    </x:font>
    <x:font>
      <x:sz val="9"/>
      <x:color rgb="FF25313B"/>
      <x:name val="Aptos"/>
    </x:font>
    <x:font>
      <x:b/>
      <x:sz val="9"/>
      <x:color rgb="FF25313B"/>
      <x:name val="Aptos"/>
    </x:font>
    <x:font>
      <x:b/>
      <x:sz val="9"/>
      <x:color rgb="FF6B7782"/>
      <x:name val="Aptos"/>
    </x:font>
    <x:font>
      <x:b/>
      <x:sz val="18"/>
      <x:color rgb="FFFFFFFF"/>
      <x:name val="Aptos"/>
    </x:font>
    <x:font>
      <x:b/>
      <x:sz val="10"/>
      <x:color rgb="FF147EEA"/>
      <x:name val="Aptos"/>
    </x:font>
    <x:font>
      <x:b/>
      <x:sz val="10"/>
      <x:color rgb="FFFF7900"/>
      <x:name val="Arial"/>
    </x:font>
    <x:font>
      <x:b/>
      <x:sz val="9"/>
      <x:color rgb="FFFFFFFF"/>
      <x:name val="Aptos"/>
    </x:font>
    <x:font>
      <x:b/>
      <x:sz val="9"/>
      <x:color rgb="FF147EEA"/>
      <x:name val="Aptos"/>
    </x:font>
    <x:font>
      <x:b/>
      <x:sz val="17"/>
      <x:color rgb="FFFFFFFF"/>
      <x:name val="Aptos"/>
    </x:font>
    <x:font>
      <x:b/>
      <x:sz val="10"/>
      <x:color rgb="FF147EEA"/>
      <x:name val="Consolas"/>
    </x:font>
    <x:font>
      <x:b/>
      <x:sz val="9"/>
      <x:color rgb="FF147EEA"/>
      <x:name val="Consolas"/>
    </x:font>
    <x:font>
      <x:b/>
      <x:sz val="9"/>
      <x:color rgb="FFFF7900"/>
      <x:name val="Arial"/>
    </x:font>
    <x:font>
      <x:b/>
      <x:sz val="11"/>
      <x:color rgb="FFFF7900"/>
      <x:name val="Dubai"/>
    </x:font>
    <x:font>
      <x:b/>
      <x:sz val="10"/>
      <x:color rgb="FFFF7900"/>
      <x:name val="Dubai"/>
    </x:font>
    <x:font>
      <x:b/>
      <x:sz val="9"/>
      <x:color rgb="FFFF7900"/>
      <x:name val="Dubai"/>
    </x:font>
  </x:fonts>
  <x:fills count="1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47EEA"/>
      </x:patternFill>
    </x:fill>
    <x:fill>
      <x:patternFill patternType="solid">
        <x:fgColor rgb="FF374550"/>
      </x:patternFill>
    </x:fill>
    <x:fill>
      <x:patternFill patternType="solid">
        <x:fgColor rgb="FFFFF3E8"/>
      </x:patternFill>
    </x:fill>
    <x:fill>
      <x:patternFill patternType="solid">
        <x:fgColor rgb="FFEEF6FE"/>
      </x:patternFill>
    </x:fill>
    <x:fill>
      <x:patternFill patternType="solid">
        <x:fgColor rgb="FFFAFBFC"/>
      </x:patternFill>
    </x:fill>
    <x:fill>
      <x:patternFill patternType="solid">
        <x:fgColor rgb="FFEAF8F1"/>
      </x:patternFill>
    </x:fill>
    <x:fill>
      <x:patternFill patternType="solid">
        <x:fgColor rgb="FFFFF7CC"/>
      </x:patternFill>
    </x:fill>
    <x:fill>
      <x:patternFill patternType="solid">
        <x:fgColor rgb="FFEEF6FE"/>
      </x:patternFill>
    </x:fill>
    <x:fill>
      <x:patternFill patternType="solid">
        <x:fgColor rgb="FFFFF3E8"/>
      </x:patternFill>
    </x:fill>
    <x:fill>
      <x:patternFill patternType="solid">
        <x:fgColor rgb="FFEAF8F1"/>
      </x:patternFill>
    </x:fill>
    <x:fill>
      <x:patternFill patternType="solid">
        <x:fgColor rgb="FFFAFBFC"/>
      </x:patternFill>
    </x:fill>
  </x:fills>
  <x:borders count="66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300">
    <x:xf numFmtId="0" fontId="0" fillId="0" borderId="0" xfId="0"/>
    <x:xf numFmtId="0" fontId="2" fillId="2" borderId="0" xfId="0" applyFont="1" applyFill="1" applyAlignment="1">
      <x:alignment horizontal="center" vertical="center"/>
    </x:xf>
    <x:xf numFmtId="0" fontId="2" fillId="2" borderId="0" xfId="0" applyFont="1" applyFill="1" applyAlignment="1">
      <x:alignment horizontal="center" vertical="center" wrapText="1"/>
    </x:xf>
    <x:xf numFmtId="0" fontId="1" fillId="2" borderId="0" xfId="0" applyFont="1" applyFill="1" applyAlignment="1">
      <x:alignment horizontal="left" vertical="center"/>
    </x:xf>
    <x:xf numFmtId="0" fontId="1" fillId="2" borderId="0" xfId="0" applyFont="1" applyFill="1" applyAlignment="1">
      <x:alignment vertical="center"/>
    </x:xf>
    <x:xf numFmtId="0" fontId="1" fillId="3" borderId="0" xfId="0" applyFont="1" applyFill="1" applyAlignment="1">
      <x:alignment vertical="center"/>
    </x:xf>
    <x:xf numFmtId="0" fontId="7" fillId="7" borderId="14" xfId="0" applyFont="1" applyFill="1" applyBorder="1" applyAlignment="1">
      <x:alignment horizontal="left" vertical="center" wrapText="1"/>
    </x:xf>
    <x:xf numFmtId="0" fontId="7" fillId="7" borderId="16" xfId="0" applyFont="1" applyFill="1" applyBorder="1" applyAlignment="1">
      <x:alignment horizontal="left" vertical="center" wrapText="1"/>
    </x:xf>
    <x:xf numFmtId="0" fontId="7" fillId="7" borderId="19" xfId="0" applyFont="1" applyFill="1" applyBorder="1" applyAlignment="1">
      <x:alignment horizontal="left" vertical="center" wrapText="1"/>
    </x:xf>
    <x:xf numFmtId="0" fontId="2" fillId="2" borderId="1" xfId="0" applyFont="1" applyFill="1" applyBorder="1" applyAlignment="1">
      <x:alignment horizontal="center" vertical="center" wrapText="1"/>
    </x:xf>
    <x:xf numFmtId="0" fontId="2" fillId="2" borderId="2" xfId="0" applyFont="1" applyFill="1" applyBorder="1" applyAlignment="1">
      <x:alignment horizontal="center" vertical="center" wrapText="1"/>
    </x:xf>
    <x:xf numFmtId="0" fontId="2" fillId="2" borderId="3" xfId="0" applyFont="1" applyFill="1" applyBorder="1" applyAlignment="1">
      <x:alignment horizontal="center" vertical="center" wrapText="1"/>
    </x:xf>
    <x:xf numFmtId="0" fontId="1" fillId="2" borderId="7" xfId="0" applyFont="1" applyFill="1" applyBorder="1" applyAlignment="1">
      <x:alignment horizontal="left" vertical="center" wrapText="1"/>
    </x:xf>
    <x:xf numFmtId="0" fontId="1" fillId="2" borderId="0" xfId="0" applyFont="1" applyFill="1" applyAlignment="1">
      <x:alignment horizontal="left" vertical="center" wrapText="1"/>
    </x:xf>
    <x:xf numFmtId="0" fontId="2" fillId="2" borderId="0" xfId="0" applyFont="1" applyFill="1" applyAlignment="1">
      <x:alignment horizontal="left" vertical="center" wrapText="1"/>
    </x:xf>
    <x:xf numFmtId="0" fontId="1" fillId="2" borderId="8" xfId="0" applyFont="1" applyFill="1" applyBorder="1" applyAlignment="1">
      <x:alignment horizontal="left" vertical="center" wrapText="1"/>
    </x:xf>
    <x:xf numFmtId="0" fontId="13" fillId="4" borderId="24" xfId="0" applyFont="1" applyFill="1" applyBorder="1" applyAlignment="1">
      <x:alignment horizontal="center" vertical="center" wrapText="1"/>
    </x:xf>
    <x:xf numFmtId="0" fontId="13" fillId="4" borderId="25" xfId="0" applyFont="1" applyFill="1" applyBorder="1" applyAlignment="1">
      <x:alignment horizontal="center" vertical="center" wrapText="1"/>
    </x:xf>
    <x:xf numFmtId="0" fontId="13" fillId="4" borderId="26" xfId="0" applyFont="1" applyFill="1" applyBorder="1" applyAlignment="1">
      <x:alignment horizontal="center" vertical="center" wrapText="1"/>
    </x:xf>
    <x:xf numFmtId="0" fontId="13" fillId="4" borderId="27" xfId="0" applyFont="1" applyFill="1" applyBorder="1" applyAlignment="1">
      <x:alignment horizontal="center" vertical="center" wrapText="1"/>
    </x:xf>
    <x:xf numFmtId="0" fontId="7" fillId="2" borderId="0" xfId="0" applyFont="1" applyFill="1" applyAlignment="1">
      <x:alignment horizontal="left" vertical="center" wrapText="1"/>
    </x:xf>
    <x:xf numFmtId="0" fontId="8" fillId="2" borderId="0" xfId="0" applyFont="1" applyFill="1" applyAlignment="1">
      <x:alignment horizontal="left" vertical="center" wrapText="1"/>
    </x:xf>
    <x:xf numFmtId="0" fontId="7" fillId="2" borderId="8" xfId="0" applyFont="1" applyFill="1" applyBorder="1" applyAlignment="1">
      <x:alignment horizontal="left" vertical="center" wrapText="1"/>
    </x:xf>
    <x:xf numFmtId="0" fontId="7" fillId="2" borderId="9" xfId="0" applyFont="1" applyFill="1" applyBorder="1" applyAlignment="1">
      <x:alignment horizontal="left" vertical="center" wrapText="1"/>
    </x:xf>
    <x:xf numFmtId="0" fontId="8" fillId="2" borderId="9" xfId="0" applyFont="1" applyFill="1" applyBorder="1" applyAlignment="1">
      <x:alignment horizontal="left" vertical="center" wrapText="1"/>
    </x:xf>
    <x:xf numFmtId="0" fontId="7" fillId="2" borderId="10" xfId="0" applyFont="1" applyFill="1" applyBorder="1" applyAlignment="1">
      <x:alignment horizontal="left" vertical="center" wrapText="1"/>
    </x:xf>
    <x:xf numFmtId="0" fontId="7" fillId="2" borderId="12" xfId="0" applyFont="1" applyFill="1" applyBorder="1" applyAlignment="1">
      <x:alignment horizontal="left" vertical="center" wrapText="1"/>
    </x:xf>
    <x:xf numFmtId="0" fontId="7" fillId="2" borderId="13" xfId="0" applyFont="1" applyFill="1" applyBorder="1" applyAlignment="1">
      <x:alignment horizontal="left" vertical="center" wrapText="1"/>
    </x:xf>
    <x:xf numFmtId="0" fontId="8" fillId="2" borderId="13" xfId="0" applyFont="1" applyFill="1" applyBorder="1" applyAlignment="1">
      <x:alignment horizontal="left" vertical="center" wrapText="1"/>
    </x:xf>
    <x:xf numFmtId="0" fontId="7" fillId="2" borderId="28" xfId="0" applyFont="1" applyFill="1" applyBorder="1" applyAlignment="1">
      <x:alignment horizontal="left" vertical="center" wrapText="1"/>
    </x:xf>
    <x:xf numFmtId="0" fontId="7" fillId="2" borderId="15" xfId="0" applyFont="1" applyFill="1" applyBorder="1" applyAlignment="1">
      <x:alignment horizontal="left" vertical="center" wrapText="1"/>
    </x:xf>
    <x:xf numFmtId="0" fontId="7" fillId="2" borderId="29" xfId="0" applyFont="1" applyFill="1" applyBorder="1" applyAlignment="1">
      <x:alignment horizontal="left" vertical="center" wrapText="1"/>
    </x:xf>
    <x:xf numFmtId="0" fontId="7" fillId="2" borderId="14" xfId="0" applyFont="1" applyFill="1" applyBorder="1" applyAlignment="1">
      <x:alignment vertical="center" wrapText="1"/>
    </x:xf>
    <x:xf numFmtId="0" fontId="7" fillId="2" borderId="16" xfId="0" applyFont="1" applyFill="1" applyBorder="1" applyAlignment="1">
      <x:alignment vertical="center" wrapText="1"/>
    </x:xf>
    <x:xf numFmtId="0" fontId="7" fillId="2" borderId="15" xfId="0" applyFont="1" applyFill="1" applyBorder="1" applyAlignment="1">
      <x:alignment vertical="center" wrapText="1"/>
    </x:xf>
    <x:xf numFmtId="0" fontId="7" fillId="2" borderId="0" xfId="0" applyFont="1" applyFill="1" applyAlignment="1">
      <x:alignment vertical="center" wrapText="1"/>
    </x:xf>
    <x:xf numFmtId="0" fontId="7" fillId="2" borderId="17" xfId="0" applyFont="1" applyFill="1" applyBorder="1" applyAlignment="1">
      <x:alignment vertical="center" wrapText="1"/>
    </x:xf>
    <x:xf numFmtId="0" fontId="7" fillId="2" borderId="18" xfId="0" applyFont="1" applyFill="1" applyBorder="1" applyAlignment="1">
      <x:alignment vertical="center" wrapText="1"/>
    </x:xf>
    <x:xf numFmtId="0" fontId="7" fillId="2" borderId="19" xfId="0" applyFont="1" applyFill="1" applyBorder="1" applyAlignment="1">
      <x:alignment vertical="center" wrapText="1"/>
    </x:xf>
    <x:xf numFmtId="0" fontId="7" fillId="6" borderId="13" xfId="0" applyFont="1" applyFill="1" applyBorder="1" applyAlignment="1">
      <x:alignment horizontal="left" vertical="center" wrapText="1"/>
    </x:xf>
    <x:xf numFmtId="0" fontId="7" fillId="6" borderId="0" xfId="0" applyFont="1" applyFill="1" applyAlignment="1">
      <x:alignment horizontal="left" vertical="center" wrapText="1"/>
    </x:xf>
    <x:xf numFmtId="0" fontId="7" fillId="6" borderId="9" xfId="0" applyFont="1" applyFill="1" applyBorder="1" applyAlignment="1">
      <x:alignment horizontal="left" vertical="center" wrapText="1"/>
    </x:xf>
    <x:xf numFmtId="0" fontId="7" fillId="6" borderId="0" xfId="0" applyFont="1" applyFill="1" applyAlignment="1">
      <x:alignment vertical="center" wrapText="1"/>
    </x:xf>
    <x:xf numFmtId="0" fontId="7" fillId="6" borderId="18" xfId="0" applyFont="1" applyFill="1" applyBorder="1" applyAlignment="1">
      <x:alignment vertical="center" wrapText="1"/>
    </x:xf>
    <x:xf numFmtId="0" fontId="14" fillId="6" borderId="13" xfId="0" applyFont="1" applyFill="1" applyBorder="1" applyAlignment="1">
      <x:alignment horizontal="center" vertical="center" wrapText="1"/>
    </x:xf>
    <x:xf numFmtId="0" fontId="14" fillId="6" borderId="0" xfId="0" applyFont="1" applyFill="1" applyAlignment="1">
      <x:alignment horizontal="center" vertical="center" wrapText="1"/>
    </x:xf>
    <x:xf numFmtId="0" fontId="14" fillId="6" borderId="9" xfId="0" applyFont="1" applyFill="1" applyBorder="1" applyAlignment="1">
      <x:alignment horizontal="center" vertical="center" wrapText="1"/>
    </x:xf>
    <x:xf numFmtId="0" fontId="14" fillId="6" borderId="18" xfId="0" applyFont="1" applyFill="1" applyBorder="1" applyAlignment="1">
      <x:alignment horizontal="center" vertical="center" wrapText="1"/>
    </x:xf>
    <x:xf numFmtId="0" fontId="6" fillId="4" borderId="12" xfId="0" applyFont="1" applyFill="1" applyBorder="1" applyAlignment="1">
      <x:alignment horizontal="center" vertical="center" wrapText="1"/>
    </x:xf>
    <x:xf numFmtId="0" fontId="6" fillId="4" borderId="15" xfId="0" applyFont="1" applyFill="1" applyBorder="1" applyAlignment="1">
      <x:alignment horizontal="center" vertical="center" wrapText="1"/>
    </x:xf>
    <x:xf numFmtId="0" fontId="6" fillId="4" borderId="29" xfId="0" applyFont="1" applyFill="1" applyBorder="1" applyAlignment="1">
      <x:alignment horizontal="center" vertical="center" wrapText="1"/>
    </x:xf>
    <x:xf numFmtId="0" fontId="6" fillId="4" borderId="17" xfId="0" applyFont="1" applyFill="1" applyBorder="1" applyAlignment="1">
      <x:alignment horizontal="center" vertical="center" wrapText="1"/>
    </x:xf>
    <x:xf numFmtId="0" fontId="1" fillId="2" borderId="5" xfId="0" applyFont="1" applyFill="1" applyBorder="1" applyAlignment="1">
      <x:alignment horizontal="left" vertical="center"/>
    </x:xf>
    <x:xf numFmtId="0" fontId="1" fillId="2" borderId="7" xfId="0" applyFont="1" applyFill="1" applyBorder="1" applyAlignment="1">
      <x:alignment horizontal="left" vertical="center"/>
    </x:xf>
    <x:xf numFmtId="164" fontId="1" fillId="2" borderId="0" xfId="0" applyNumberFormat="1" applyFont="1" applyFill="1" applyAlignment="1">
      <x:alignment horizontal="left" vertical="center"/>
    </x:xf>
    <x:xf numFmtId="0" fontId="1" fillId="2" borderId="8" xfId="0" applyFont="1" applyFill="1" applyBorder="1" applyAlignment="1">
      <x:alignment horizontal="left" vertical="center"/>
    </x:xf>
    <x:xf numFmtId="164" fontId="13" fillId="4" borderId="25" xfId="0" applyNumberFormat="1" applyFont="1" applyFill="1" applyBorder="1" applyAlignment="1">
      <x:alignment horizontal="center" vertical="center" wrapText="1"/>
    </x:xf>
    <x:xf numFmtId="164" fontId="7" fillId="2" borderId="13" xfId="0" applyNumberFormat="1" applyFont="1" applyFill="1" applyBorder="1" applyAlignment="1">
      <x:alignment horizontal="left" vertical="center" wrapText="1"/>
    </x:xf>
    <x:xf numFmtId="0" fontId="7" fillId="2" borderId="14" xfId="0" applyFont="1" applyFill="1" applyBorder="1" applyAlignment="1">
      <x:alignment horizontal="left" vertical="center" wrapText="1"/>
    </x:xf>
    <x:xf numFmtId="164" fontId="7" fillId="2" borderId="0" xfId="0" applyNumberFormat="1" applyFont="1" applyFill="1" applyAlignment="1">
      <x:alignment horizontal="left" vertical="center" wrapText="1"/>
    </x:xf>
    <x:xf numFmtId="0" fontId="7" fillId="2" borderId="16" xfId="0" applyFont="1" applyFill="1" applyBorder="1" applyAlignment="1">
      <x:alignment horizontal="left" vertical="center" wrapText="1"/>
    </x:xf>
    <x:xf numFmtId="164" fontId="7" fillId="2" borderId="9" xfId="0" applyNumberFormat="1" applyFont="1" applyFill="1" applyBorder="1" applyAlignment="1">
      <x:alignment horizontal="left" vertical="center" wrapText="1"/>
    </x:xf>
    <x:xf numFmtId="0" fontId="7" fillId="2" borderId="31" xfId="0" applyFont="1" applyFill="1" applyBorder="1" applyAlignment="1">
      <x:alignment horizontal="left" vertical="center" wrapText="1"/>
    </x:xf>
    <x:xf numFmtId="164" fontId="7" fillId="2" borderId="0" xfId="0" applyNumberFormat="1" applyFont="1" applyFill="1" applyAlignment="1">
      <x:alignment vertical="center" wrapText="1"/>
    </x:xf>
    <x:xf numFmtId="164" fontId="7" fillId="2" borderId="18" xfId="0" applyNumberFormat="1" applyFont="1" applyFill="1" applyBorder="1" applyAlignment="1">
      <x:alignment vertical="center" wrapText="1"/>
    </x:xf>
    <x:xf numFmtId="0" fontId="7" fillId="2" borderId="17" xfId="0" applyFont="1" applyFill="1" applyBorder="1" applyAlignment="1">
      <x:alignment horizontal="left" vertical="center" wrapText="1"/>
    </x:xf>
    <x:xf numFmtId="0" fontId="7" fillId="2" borderId="18" xfId="0" applyFont="1" applyFill="1" applyBorder="1" applyAlignment="1">
      <x:alignment horizontal="left" vertical="center" wrapText="1"/>
    </x:xf>
    <x:xf numFmtId="0" fontId="7" fillId="2" borderId="19" xfId="0" applyFont="1" applyFill="1" applyBorder="1" applyAlignment="1">
      <x:alignment horizontal="left" vertical="center" wrapText="1"/>
    </x:xf>
    <x:xf numFmtId="0" fontId="7" fillId="5" borderId="13" xfId="0" applyFont="1" applyFill="1" applyBorder="1" applyAlignment="1">
      <x:alignment horizontal="left" vertical="center" wrapText="1"/>
    </x:xf>
    <x:xf numFmtId="0" fontId="7" fillId="5" borderId="0" xfId="0" applyFont="1" applyFill="1" applyAlignment="1">
      <x:alignment horizontal="left" vertical="center" wrapText="1"/>
    </x:xf>
    <x:xf numFmtId="0" fontId="7" fillId="5" borderId="18" xfId="0" applyFont="1" applyFill="1" applyBorder="1" applyAlignment="1">
      <x:alignment horizontal="left" vertical="center" wrapText="1"/>
    </x:xf>
    <x:xf numFmtId="0" fontId="7" fillId="2" borderId="33" xfId="0" applyFont="1" applyFill="1" applyBorder="1" applyAlignment="1">
      <x:alignment horizontal="left" vertical="center" wrapText="1"/>
    </x:xf>
    <x:xf numFmtId="0" fontId="7" fillId="8" borderId="34" xfId="0" applyFont="1" applyFill="1" applyBorder="1" applyAlignment="1">
      <x:alignment horizontal="left" vertical="center" wrapText="1"/>
    </x:xf>
    <x:xf numFmtId="0" fontId="7" fillId="8" borderId="35" xfId="0" applyFont="1" applyFill="1" applyBorder="1" applyAlignment="1">
      <x:alignment horizontal="left" vertical="center" wrapText="1"/>
    </x:xf>
    <x:xf numFmtId="0" fontId="7" fillId="8" borderId="0" xfId="0" applyFont="1" applyFill="1" applyAlignment="1">
      <x:alignment vertical="center" wrapText="1"/>
    </x:xf>
    <x:xf numFmtId="0" fontId="7" fillId="8" borderId="16" xfId="0" applyFont="1" applyFill="1" applyBorder="1" applyAlignment="1">
      <x:alignment vertical="center" wrapText="1"/>
    </x:xf>
    <x:xf numFmtId="0" fontId="7" fillId="8" borderId="13" xfId="0" applyFont="1" applyFill="1" applyBorder="1" applyAlignment="1">
      <x:alignment horizontal="left" vertical="center" wrapText="1"/>
    </x:xf>
    <x:xf numFmtId="0" fontId="7" fillId="8" borderId="14" xfId="0" applyFont="1" applyFill="1" applyBorder="1" applyAlignment="1">
      <x:alignment horizontal="left" vertical="center" wrapText="1"/>
    </x:xf>
    <x:xf numFmtId="0" fontId="7" fillId="9" borderId="0" xfId="0" applyFont="1" applyFill="1" applyAlignment="1">
      <x:alignment vertical="center" wrapText="1"/>
    </x:xf>
    <x:xf numFmtId="0" fontId="7" fillId="9" borderId="16" xfId="0" applyFont="1" applyFill="1" applyBorder="1" applyAlignment="1">
      <x:alignment vertical="center" wrapText="1"/>
    </x:xf>
    <x:xf numFmtId="0" fontId="7" fillId="9" borderId="18" xfId="0" applyFont="1" applyFill="1" applyBorder="1" applyAlignment="1">
      <x:alignment vertical="center" wrapText="1"/>
    </x:xf>
    <x:xf numFmtId="0" fontId="7" fillId="9" borderId="19" xfId="0" applyFont="1" applyFill="1" applyBorder="1" applyAlignment="1">
      <x:alignment vertical="center" wrapText="1"/>
    </x:xf>
    <x:xf numFmtId="0" fontId="8" fillId="9" borderId="36" xfId="0" applyFont="1" applyFill="1" applyBorder="1" applyAlignment="1">
      <x:alignment horizontal="center" vertical="center"/>
    </x:xf>
    <x:xf numFmtId="0" fontId="8" fillId="9" borderId="37" xfId="0" applyFont="1" applyFill="1" applyBorder="1" applyAlignment="1">
      <x:alignment horizontal="center" vertical="center"/>
    </x:xf>
    <x:xf numFmtId="0" fontId="8" fillId="9" borderId="38" xfId="0" applyFont="1" applyFill="1" applyBorder="1" applyAlignment="1">
      <x:alignment horizontal="center" vertical="center"/>
    </x:xf>
    <x:xf numFmtId="0" fontId="7" fillId="5" borderId="16" xfId="0" applyFont="1" applyFill="1" applyBorder="1" applyAlignment="1">
      <x:alignment horizontal="left" vertical="center" wrapText="1"/>
    </x:xf>
    <x:xf numFmtId="0" fontId="7" fillId="8" borderId="0" xfId="0" applyFont="1" applyFill="1" applyAlignment="1">
      <x:alignment horizontal="left" vertical="center" wrapText="1"/>
    </x:xf>
    <x:xf numFmtId="0" fontId="7" fillId="8" borderId="16" xfId="0" applyFont="1" applyFill="1" applyBorder="1" applyAlignment="1">
      <x:alignment horizontal="left" vertical="center" wrapText="1"/>
    </x:xf>
    <x:xf numFmtId="0" fontId="7" fillId="9" borderId="0" xfId="0" applyFont="1" applyFill="1" applyAlignment="1">
      <x:alignment horizontal="left" vertical="center" wrapText="1"/>
    </x:xf>
    <x:xf numFmtId="0" fontId="7" fillId="9" borderId="16" xfId="0" applyFont="1" applyFill="1" applyBorder="1" applyAlignment="1">
      <x:alignment horizontal="left" vertical="center" wrapText="1"/>
    </x:xf>
    <x:xf numFmtId="0" fontId="7" fillId="9" borderId="9" xfId="0" applyFont="1" applyFill="1" applyBorder="1" applyAlignment="1">
      <x:alignment horizontal="left" vertical="center" wrapText="1"/>
    </x:xf>
    <x:xf numFmtId="0" fontId="7" fillId="9" borderId="31" xfId="0" applyFont="1" applyFill="1" applyBorder="1" applyAlignment="1">
      <x:alignment horizontal="left" vertical="center" wrapText="1"/>
    </x:xf>
    <x:xf numFmtId="0" fontId="2" fillId="2" borderId="11" xfId="0" applyFont="1" applyFill="1" applyBorder="1" applyAlignment="1">
      <x:alignment horizontal="center" vertical="center" wrapText="1"/>
    </x:xf>
    <x:xf numFmtId="164" fontId="13" fillId="4" borderId="27" xfId="0" applyNumberFormat="1" applyFont="1" applyFill="1" applyBorder="1" applyAlignment="1">
      <x:alignment horizontal="center" vertical="center" wrapText="1"/>
    </x:xf>
    <x:xf numFmtId="164" fontId="7" fillId="2" borderId="37" xfId="0" applyNumberFormat="1" applyFont="1" applyFill="1" applyBorder="1" applyAlignment="1">
      <x:alignment horizontal="left" vertical="center" wrapText="1"/>
    </x:xf>
    <x:xf numFmtId="164" fontId="7" fillId="2" borderId="36" xfId="0" applyNumberFormat="1" applyFont="1" applyFill="1" applyBorder="1" applyAlignment="1">
      <x:alignment horizontal="left" vertical="center" wrapText="1"/>
    </x:xf>
    <x:xf numFmtId="1" fontId="7" fillId="2" borderId="37" xfId="0" applyNumberFormat="1" applyFont="1" applyFill="1" applyBorder="1" applyAlignment="1">
      <x:alignment horizontal="left" vertical="center" wrapText="1"/>
    </x:xf>
    <x:xf numFmtId="1" fontId="7" fillId="2" borderId="38" xfId="0" applyNumberFormat="1" applyFont="1" applyFill="1" applyBorder="1" applyAlignment="1">
      <x:alignment horizontal="left" vertical="center" wrapText="1"/>
    </x:xf>
    <x:xf numFmtId="0" fontId="17" fillId="6" borderId="12" xfId="0" applyFont="1" applyFill="1" applyBorder="1" applyAlignment="1">
      <x:alignment horizontal="center" vertical="center" wrapText="1"/>
    </x:xf>
    <x:xf numFmtId="0" fontId="17" fillId="6" borderId="15" xfId="0" applyFont="1" applyFill="1" applyBorder="1" applyAlignment="1">
      <x:alignment horizontal="center" vertical="center" wrapText="1"/>
    </x:xf>
    <x:xf numFmtId="0" fontId="17" fillId="6" borderId="17" xfId="0" applyFont="1" applyFill="1" applyBorder="1" applyAlignment="1">
      <x:alignment horizontal="center" vertical="center" wrapText="1"/>
    </x:xf>
    <x:xf numFmtId="1" fontId="7" fillId="8" borderId="13" xfId="0" applyNumberFormat="1" applyFont="1" applyFill="1" applyBorder="1" applyAlignment="1">
      <x:alignment horizontal="left" vertical="center" wrapText="1"/>
    </x:xf>
    <x:xf numFmtId="1" fontId="7" fillId="8" borderId="0" xfId="0" applyNumberFormat="1" applyFont="1" applyFill="1" applyAlignment="1">
      <x:alignment horizontal="left" vertical="center" wrapText="1"/>
    </x:xf>
    <x:xf numFmtId="1" fontId="7" fillId="9" borderId="0" xfId="0" applyNumberFormat="1" applyFont="1" applyFill="1" applyAlignment="1">
      <x:alignment horizontal="left" vertical="center" wrapText="1"/>
    </x:xf>
    <x:xf numFmtId="1" fontId="7" fillId="9" borderId="9" xfId="0" applyNumberFormat="1" applyFont="1" applyFill="1" applyBorder="1" applyAlignment="1">
      <x:alignment horizontal="left" vertical="center" wrapText="1"/>
    </x:xf>
    <x:xf numFmtId="1" fontId="7" fillId="9" borderId="0" xfId="0" applyNumberFormat="1" applyFont="1" applyFill="1" applyAlignment="1">
      <x:alignment vertical="center" wrapText="1"/>
    </x:xf>
    <x:xf numFmtId="1" fontId="7" fillId="9" borderId="18" xfId="0" applyNumberFormat="1" applyFont="1" applyFill="1" applyBorder="1" applyAlignment="1">
      <x:alignment vertical="center" wrapText="1"/>
    </x:xf>
    <x:xf numFmtId="164" fontId="11" fillId="6" borderId="0" xfId="0" applyNumberFormat="1" applyFont="1" applyFill="1" applyAlignment="1">
      <x:alignment horizontal="center" vertical="center"/>
    </x:xf>
    <x:xf numFmtId="0" fontId="7" fillId="9" borderId="14" xfId="0" applyFont="1" applyFill="1" applyBorder="1" applyAlignment="1">
      <x:alignment horizontal="left" vertical="center" wrapText="1"/>
    </x:xf>
    <x:xf numFmtId="0" fontId="3" fillId="4" borderId="0" xfId="0" applyFont="1" applyFill="1" applyAlignment="1">
      <x:alignment horizontal="left" vertical="center"/>
    </x:xf>
    <x:xf numFmtId="0" fontId="3" fillId="4" borderId="0" xfId="0" applyFont="1" applyFill="1" applyAlignment="1">
      <x:alignment horizontal="left" vertical="center" wrapText="1"/>
    </x:xf>
    <x:xf numFmtId="0" fontId="4" fillId="5" borderId="0" xfId="0" applyFont="1" applyFill="1" applyAlignment="1">
      <x:alignment horizontal="right" vertical="center" wrapText="1"/>
    </x:xf>
    <x:xf numFmtId="0" fontId="5" fillId="6" borderId="0" xfId="0" applyFont="1" applyFill="1" applyAlignment="1">
      <x:alignment horizontal="center" vertical="center" wrapText="1"/>
    </x:xf>
    <x:xf numFmtId="0" fontId="6" fillId="4" borderId="0" xfId="0" applyFont="1" applyFill="1" applyAlignment="1">
      <x:alignment horizontal="center" vertical="center"/>
    </x:xf>
    <x:xf numFmtId="0" fontId="6" fillId="3" borderId="0" xfId="0" applyFont="1" applyFill="1" applyAlignment="1">
      <x:alignment horizontal="center" vertical="center"/>
    </x:xf>
    <x:xf numFmtId="0" fontId="9" fillId="2" borderId="0" xfId="0" applyFont="1" applyFill="1" applyAlignment="1">
      <x:alignment horizontal="center" vertical="center"/>
    </x:xf>
    <x:xf numFmtId="0" fontId="2" fillId="10" borderId="42" xfId="0" applyFont="1" applyFill="1" applyBorder="1" applyAlignment="1">
      <x:alignment horizontal="center" vertical="center" wrapText="1"/>
    </x:xf>
    <x:xf numFmtId="0" fontId="2" fillId="10" borderId="43" xfId="0" applyFont="1" applyFill="1" applyBorder="1" applyAlignment="1">
      <x:alignment horizontal="center" vertical="center" wrapText="1"/>
    </x:xf>
    <x:xf numFmtId="0" fontId="2" fillId="10" borderId="44" xfId="0" applyFont="1" applyFill="1" applyBorder="1" applyAlignment="1">
      <x:alignment horizontal="center" vertical="center" wrapText="1"/>
    </x:xf>
    <x:xf numFmtId="0" fontId="2" fillId="10" borderId="45" xfId="0" applyFont="1" applyFill="1" applyBorder="1" applyAlignment="1">
      <x:alignment horizontal="center" vertical="center" wrapText="1"/>
    </x:xf>
    <x:xf numFmtId="0" fontId="2" fillId="10" borderId="0" xfId="0" applyFont="1" applyFill="1" applyAlignment="1">
      <x:alignment horizontal="center" vertical="center" wrapText="1"/>
    </x:xf>
    <x:xf numFmtId="0" fontId="2" fillId="10" borderId="46" xfId="0" applyFont="1" applyFill="1" applyBorder="1" applyAlignment="1">
      <x:alignment horizontal="center" vertical="center" wrapText="1"/>
    </x:xf>
    <x:xf numFmtId="0" fontId="2" fillId="10" borderId="47" xfId="0" applyFont="1" applyFill="1" applyBorder="1" applyAlignment="1">
      <x:alignment horizontal="center" vertical="center" wrapText="1"/>
    </x:xf>
    <x:xf numFmtId="0" fontId="2" fillId="10" borderId="48" xfId="0" applyFont="1" applyFill="1" applyBorder="1" applyAlignment="1">
      <x:alignment horizontal="center" vertical="center" wrapText="1"/>
    </x:xf>
    <x:xf numFmtId="0" fontId="2" fillId="10" borderId="49" xfId="0" applyFont="1" applyFill="1" applyBorder="1" applyAlignment="1">
      <x:alignment horizontal="center" vertical="center" wrapText="1"/>
    </x:xf>
    <x:xf numFmtId="0" fontId="2" fillId="11" borderId="50" xfId="0" applyFont="1" applyFill="1" applyBorder="1" applyAlignment="1">
      <x:alignment horizontal="center" vertical="center" wrapText="1"/>
    </x:xf>
    <x:xf numFmtId="0" fontId="2" fillId="11" borderId="51" xfId="0" applyFont="1" applyFill="1" applyBorder="1" applyAlignment="1">
      <x:alignment horizontal="center" vertical="center" wrapText="1"/>
    </x:xf>
    <x:xf numFmtId="0" fontId="2" fillId="11" borderId="52" xfId="0" applyFont="1" applyFill="1" applyBorder="1" applyAlignment="1">
      <x:alignment horizontal="center" vertical="center" wrapText="1"/>
    </x:xf>
    <x:xf numFmtId="0" fontId="2" fillId="11" borderId="53" xfId="0" applyFont="1" applyFill="1" applyBorder="1" applyAlignment="1">
      <x:alignment horizontal="center" vertical="center" wrapText="1"/>
    </x:xf>
    <x:xf numFmtId="0" fontId="2" fillId="11" borderId="0" xfId="0" applyFont="1" applyFill="1" applyAlignment="1">
      <x:alignment horizontal="center" vertical="center" wrapText="1"/>
    </x:xf>
    <x:xf numFmtId="0" fontId="2" fillId="11" borderId="46" xfId="0" applyFont="1" applyFill="1" applyBorder="1" applyAlignment="1">
      <x:alignment horizontal="center" vertical="center" wrapText="1"/>
    </x:xf>
    <x:xf numFmtId="0" fontId="2" fillId="11" borderId="54" xfId="0" applyFont="1" applyFill="1" applyBorder="1" applyAlignment="1">
      <x:alignment horizontal="center" vertical="center" wrapText="1"/>
    </x:xf>
    <x:xf numFmtId="0" fontId="2" fillId="11" borderId="48" xfId="0" applyFont="1" applyFill="1" applyBorder="1" applyAlignment="1">
      <x:alignment horizontal="center" vertical="center" wrapText="1"/>
    </x:xf>
    <x:xf numFmtId="0" fontId="2" fillId="11" borderId="49" xfId="0" applyFont="1" applyFill="1" applyBorder="1" applyAlignment="1">
      <x:alignment horizontal="center" vertical="center" wrapText="1"/>
    </x:xf>
    <x:xf numFmtId="0" fontId="2" fillId="12" borderId="55" xfId="0" applyFont="1" applyFill="1" applyBorder="1" applyAlignment="1">
      <x:alignment horizontal="center" vertical="center" wrapText="1"/>
    </x:xf>
    <x:xf numFmtId="0" fontId="2" fillId="12" borderId="56" xfId="0" applyFont="1" applyFill="1" applyBorder="1" applyAlignment="1">
      <x:alignment horizontal="center" vertical="center" wrapText="1"/>
    </x:xf>
    <x:xf numFmtId="0" fontId="2" fillId="12" borderId="57" xfId="0" applyFont="1" applyFill="1" applyBorder="1" applyAlignment="1">
      <x:alignment horizontal="center" vertical="center" wrapText="1"/>
    </x:xf>
    <x:xf numFmtId="0" fontId="2" fillId="12" borderId="58" xfId="0" applyFont="1" applyFill="1" applyBorder="1" applyAlignment="1">
      <x:alignment horizontal="center" vertical="center" wrapText="1"/>
    </x:xf>
    <x:xf numFmtId="0" fontId="2" fillId="12" borderId="0" xfId="0" applyFont="1" applyFill="1" applyAlignment="1">
      <x:alignment horizontal="center" vertical="center" wrapText="1"/>
    </x:xf>
    <x:xf numFmtId="0" fontId="2" fillId="12" borderId="46" xfId="0" applyFont="1" applyFill="1" applyBorder="1" applyAlignment="1">
      <x:alignment horizontal="center" vertical="center" wrapText="1"/>
    </x:xf>
    <x:xf numFmtId="0" fontId="2" fillId="12" borderId="59" xfId="0" applyFont="1" applyFill="1" applyBorder="1" applyAlignment="1">
      <x:alignment horizontal="center" vertical="center" wrapText="1"/>
    </x:xf>
    <x:xf numFmtId="0" fontId="2" fillId="12" borderId="48" xfId="0" applyFont="1" applyFill="1" applyBorder="1" applyAlignment="1">
      <x:alignment horizontal="center" vertical="center" wrapText="1"/>
    </x:xf>
    <x:xf numFmtId="0" fontId="2" fillId="12" borderId="49" xfId="0" applyFont="1" applyFill="1" applyBorder="1" applyAlignment="1">
      <x:alignment horizontal="center" vertical="center" wrapText="1"/>
    </x:xf>
    <x:xf numFmtId="0" fontId="2" fillId="13" borderId="60" xfId="0" applyFont="1" applyFill="1" applyBorder="1" applyAlignment="1">
      <x:alignment horizontal="center" vertical="center" wrapText="1"/>
    </x:xf>
    <x:xf numFmtId="0" fontId="2" fillId="13" borderId="61" xfId="0" applyFont="1" applyFill="1" applyBorder="1" applyAlignment="1">
      <x:alignment horizontal="center" vertical="center" wrapText="1"/>
    </x:xf>
    <x:xf numFmtId="0" fontId="2" fillId="13" borderId="62" xfId="0" applyFont="1" applyFill="1" applyBorder="1" applyAlignment="1">
      <x:alignment horizontal="center" vertical="center" wrapText="1"/>
    </x:xf>
    <x:xf numFmtId="0" fontId="2" fillId="13" borderId="63" xfId="0" applyFont="1" applyFill="1" applyBorder="1" applyAlignment="1">
      <x:alignment horizontal="center" vertical="center" wrapText="1"/>
    </x:xf>
    <x:xf numFmtId="0" fontId="2" fillId="13" borderId="0" xfId="0" applyFont="1" applyFill="1" applyAlignment="1">
      <x:alignment horizontal="center" vertical="center" wrapText="1"/>
    </x:xf>
    <x:xf numFmtId="0" fontId="2" fillId="13" borderId="46" xfId="0" applyFont="1" applyFill="1" applyBorder="1" applyAlignment="1">
      <x:alignment horizontal="center" vertical="center" wrapText="1"/>
    </x:xf>
    <x:xf numFmtId="0" fontId="2" fillId="13" borderId="64" xfId="0" applyFont="1" applyFill="1" applyBorder="1" applyAlignment="1">
      <x:alignment horizontal="center" vertical="center" wrapText="1"/>
    </x:xf>
    <x:xf numFmtId="0" fontId="2" fillId="13" borderId="48" xfId="0" applyFont="1" applyFill="1" applyBorder="1" applyAlignment="1">
      <x:alignment horizontal="center" vertical="center" wrapText="1"/>
    </x:xf>
    <x:xf numFmtId="0" fontId="2" fillId="13" borderId="49" xfId="0" applyFont="1" applyFill="1" applyBorder="1" applyAlignment="1">
      <x:alignment horizontal="center" vertical="center" wrapText="1"/>
    </x:xf>
    <x:xf numFmtId="0" fontId="10" fillId="4" borderId="0" xfId="0" applyFont="1" applyFill="1" applyAlignment="1">
      <x:alignment horizontal="left" vertical="center"/>
    </x:xf>
    <x:xf numFmtId="0" fontId="11" fillId="6" borderId="20" xfId="0" applyFont="1" applyFill="1" applyBorder="1" applyAlignment="1">
      <x:alignment horizontal="left" vertical="center" wrapText="1"/>
    </x:xf>
    <x:xf numFmtId="0" fontId="11" fillId="6" borderId="0" xfId="0" applyFont="1" applyFill="1" applyAlignment="1">
      <x:alignment horizontal="left" vertical="center" wrapText="1"/>
    </x:xf>
    <x:xf numFmtId="0" fontId="11" fillId="6" borderId="21" xfId="0" applyFont="1" applyFill="1" applyBorder="1" applyAlignment="1">
      <x:alignment horizontal="left" vertical="center" wrapText="1"/>
    </x:xf>
    <x:xf numFmtId="0" fontId="11" fillId="6" borderId="2" xfId="0" applyFont="1" applyFill="1" applyBorder="1" applyAlignment="1">
      <x:alignment horizontal="left" vertical="center" wrapText="1"/>
    </x:xf>
    <x:xf numFmtId="0" fontId="11" fillId="6" borderId="3" xfId="0" applyFont="1" applyFill="1" applyBorder="1" applyAlignment="1">
      <x:alignment horizontal="left" vertical="center" wrapText="1"/>
    </x:xf>
    <x:xf numFmtId="0" fontId="12" fillId="5" borderId="4" xfId="0" applyFont="1" applyFill="1" applyBorder="1" applyAlignment="1">
      <x:alignment horizontal="right" vertical="center" wrapText="1"/>
    </x:xf>
    <x:xf numFmtId="0" fontId="12" fillId="5" borderId="5" xfId="0" applyFont="1" applyFill="1" applyBorder="1" applyAlignment="1">
      <x:alignment horizontal="right" vertical="center" wrapText="1"/>
    </x:xf>
    <x:xf numFmtId="0" fontId="12" fillId="5" borderId="6" xfId="0" applyFont="1" applyFill="1" applyBorder="1" applyAlignment="1">
      <x:alignment horizontal="right" vertical="center" wrapText="1"/>
    </x:xf>
    <x:xf numFmtId="0" fontId="12" fillId="5" borderId="22" xfId="0" applyFont="1" applyFill="1" applyBorder="1" applyAlignment="1">
      <x:alignment horizontal="right" vertical="center" wrapText="1"/>
    </x:xf>
    <x:xf numFmtId="0" fontId="12" fillId="5" borderId="7" xfId="0" applyFont="1" applyFill="1" applyBorder="1" applyAlignment="1">
      <x:alignment horizontal="right" vertical="center" wrapText="1"/>
    </x:xf>
    <x:xf numFmtId="0" fontId="12" fillId="5" borderId="0" xfId="0" applyFont="1" applyFill="1" applyAlignment="1">
      <x:alignment horizontal="right" vertical="center" wrapText="1"/>
    </x:xf>
    <x:xf numFmtId="0" fontId="12" fillId="5" borderId="8" xfId="0" applyFont="1" applyFill="1" applyBorder="1" applyAlignment="1">
      <x:alignment horizontal="right" vertical="center" wrapText="1"/>
    </x:xf>
    <x:xf numFmtId="0" fontId="12" fillId="5" borderId="23" xfId="0" applyFont="1" applyFill="1" applyBorder="1" applyAlignment="1">
      <x:alignment horizontal="right" vertical="center" wrapText="1"/>
    </x:xf>
    <x:xf numFmtId="0" fontId="9" fillId="7" borderId="0" xfId="0" applyFont="1" applyFill="1" applyAlignment="1">
      <x:alignment horizontal="center" vertical="center"/>
    </x:xf>
    <x:xf numFmtId="0" fontId="2" fillId="5" borderId="30" xfId="0" applyFont="1" applyFill="1" applyBorder="1" applyAlignment="1">
      <x:alignment horizontal="center" vertical="center" wrapText="1"/>
    </x:xf>
    <x:xf numFmtId="0" fontId="2" fillId="5" borderId="0" xfId="0" applyFont="1" applyFill="1" applyAlignment="1">
      <x:alignment horizontal="center" vertical="center" wrapText="1"/>
    </x:xf>
    <x:xf numFmtId="0" fontId="15" fillId="4" borderId="0" xfId="0" applyFont="1" applyFill="1" applyAlignment="1">
      <x:alignment horizontal="left" vertical="center"/>
    </x:xf>
    <x:xf numFmtId="164" fontId="12" fillId="5" borderId="5" xfId="0" applyNumberFormat="1" applyFont="1" applyFill="1" applyBorder="1" applyAlignment="1">
      <x:alignment horizontal="right" vertical="center" wrapText="1"/>
    </x:xf>
    <x:xf numFmtId="164" fontId="12" fillId="5" borderId="0" xfId="0" applyNumberFormat="1" applyFont="1" applyFill="1" applyAlignment="1">
      <x:alignment horizontal="right" vertical="center" wrapText="1"/>
    </x:xf>
    <x:xf numFmtId="0" fontId="2" fillId="6" borderId="7" xfId="0" applyFont="1" applyFill="1" applyBorder="1" applyAlignment="1">
      <x:alignment horizontal="center" vertical="center" wrapText="1"/>
    </x:xf>
    <x:xf numFmtId="0" fontId="2" fillId="6" borderId="0" xfId="0" applyFont="1" applyFill="1" applyAlignment="1">
      <x:alignment horizontal="center" vertical="center" wrapText="1"/>
    </x:xf>
    <x:xf numFmtId="164" fontId="2" fillId="6" borderId="0" xfId="0" applyNumberFormat="1" applyFont="1" applyFill="1" applyAlignment="1">
      <x:alignment horizontal="center" vertical="center" wrapText="1"/>
    </x:xf>
    <x:xf numFmtId="0" fontId="2" fillId="6" borderId="8" xfId="0" applyFont="1" applyFill="1" applyBorder="1" applyAlignment="1">
      <x:alignment horizontal="center" vertical="center" wrapText="1"/>
    </x:xf>
    <x:xf numFmtId="0" fontId="18" fillId="5" borderId="0" xfId="0" applyFont="1" applyFill="1" applyAlignment="1">
      <x:alignment horizontal="right" vertical="center" wrapText="1"/>
    </x:xf>
    <x:xf numFmtId="0" fontId="18" fillId="5" borderId="16" xfId="0" applyFont="1" applyFill="1" applyBorder="1" applyAlignment="1">
      <x:alignment horizontal="right" vertical="center" wrapText="1"/>
    </x:xf>
    <x:xf numFmtId="0" fontId="6" fillId="3" borderId="1" xfId="0" applyFont="1" applyFill="1" applyBorder="1" applyAlignment="1">
      <x:alignment horizontal="center" vertical="center"/>
    </x:xf>
    <x:xf numFmtId="0" fontId="6" fillId="3" borderId="2" xfId="0" applyFont="1" applyFill="1" applyBorder="1" applyAlignment="1">
      <x:alignment horizontal="center" vertical="center"/>
    </x:xf>
    <x:xf numFmtId="0" fontId="6" fillId="3" borderId="3" xfId="0" applyFont="1" applyFill="1" applyBorder="1" applyAlignment="1">
      <x:alignment horizontal="center" vertical="center"/>
    </x:xf>
    <x:xf numFmtId="0" fontId="16" fillId="6" borderId="0" xfId="0" applyFont="1" applyFill="1" applyAlignment="1">
      <x:alignment horizontal="center" vertical="center" wrapText="1"/>
    </x:xf>
    <x:xf numFmtId="0" fontId="8" fillId="6" borderId="12" xfId="0" applyFont="1" applyFill="1" applyBorder="1" applyAlignment="1">
      <x:alignment horizontal="center" vertical="center" wrapText="1"/>
    </x:xf>
    <x:xf numFmtId="0" fontId="8" fillId="6" borderId="13" xfId="0" applyFont="1" applyFill="1" applyBorder="1" applyAlignment="1">
      <x:alignment horizontal="center" vertical="center" wrapText="1"/>
    </x:xf>
    <x:xf numFmtId="0" fontId="8" fillId="6" borderId="14" xfId="0" applyFont="1" applyFill="1" applyBorder="1" applyAlignment="1">
      <x:alignment horizontal="center" vertical="center" wrapText="1"/>
    </x:xf>
    <x:xf numFmtId="0" fontId="8" fillId="6" borderId="15" xfId="0" applyFont="1" applyFill="1" applyBorder="1" applyAlignment="1">
      <x:alignment horizontal="center" vertical="center" wrapText="1"/>
    </x:xf>
    <x:xf numFmtId="0" fontId="8" fillId="6" borderId="0" xfId="0" applyFont="1" applyFill="1" applyAlignment="1">
      <x:alignment horizontal="center" vertical="center" wrapText="1"/>
    </x:xf>
    <x:xf numFmtId="0" fontId="8" fillId="6" borderId="16" xfId="0" applyFont="1" applyFill="1" applyBorder="1" applyAlignment="1">
      <x:alignment horizontal="center" vertical="center" wrapText="1"/>
    </x:xf>
    <x:xf numFmtId="0" fontId="8" fillId="6" borderId="17" xfId="0" applyFont="1" applyFill="1" applyBorder="1" applyAlignment="1">
      <x:alignment horizontal="center" vertical="center" wrapText="1"/>
    </x:xf>
    <x:xf numFmtId="0" fontId="8" fillId="6" borderId="18" xfId="0" applyFont="1" applyFill="1" applyBorder="1" applyAlignment="1">
      <x:alignment horizontal="center" vertical="center" wrapText="1"/>
    </x:xf>
    <x:xf numFmtId="0" fontId="8" fillId="6" borderId="19" xfId="0" applyFont="1" applyFill="1" applyBorder="1" applyAlignment="1">
      <x:alignment horizontal="center" vertical="center" wrapText="1"/>
    </x:xf>
    <x:xf numFmtId="0" fontId="8" fillId="5" borderId="12" xfId="0" applyFont="1" applyFill="1" applyBorder="1" applyAlignment="1">
      <x:alignment horizontal="center" vertical="center" wrapText="1"/>
    </x:xf>
    <x:xf numFmtId="0" fontId="8" fillId="5" borderId="28" xfId="0" applyFont="1" applyFill="1" applyBorder="1" applyAlignment="1">
      <x:alignment horizontal="center" vertical="center" wrapText="1"/>
    </x:xf>
    <x:xf numFmtId="0" fontId="8" fillId="5" borderId="13" xfId="0" applyFont="1" applyFill="1" applyBorder="1" applyAlignment="1">
      <x:alignment horizontal="center" vertical="center" wrapText="1"/>
    </x:xf>
    <x:xf numFmtId="0" fontId="8" fillId="5" borderId="14" xfId="0" applyFont="1" applyFill="1" applyBorder="1" applyAlignment="1">
      <x:alignment horizontal="center" vertical="center" wrapText="1"/>
    </x:xf>
    <x:xf numFmtId="0" fontId="8" fillId="5" borderId="15" xfId="0" applyFont="1" applyFill="1" applyBorder="1" applyAlignment="1">
      <x:alignment horizontal="center" vertical="center" wrapText="1"/>
    </x:xf>
    <x:xf numFmtId="0" fontId="8" fillId="5" borderId="8" xfId="0" applyFont="1" applyFill="1" applyBorder="1" applyAlignment="1">
      <x:alignment horizontal="center" vertical="center" wrapText="1"/>
    </x:xf>
    <x:xf numFmtId="0" fontId="8" fillId="5" borderId="0" xfId="0" applyFont="1" applyFill="1" applyAlignment="1">
      <x:alignment horizontal="center" vertical="center" wrapText="1"/>
    </x:xf>
    <x:xf numFmtId="0" fontId="8" fillId="5" borderId="16" xfId="0" applyFont="1" applyFill="1" applyBorder="1" applyAlignment="1">
      <x:alignment horizontal="center" vertical="center" wrapText="1"/>
    </x:xf>
    <x:xf numFmtId="0" fontId="8" fillId="5" borderId="17" xfId="0" applyFont="1" applyFill="1" applyBorder="1" applyAlignment="1">
      <x:alignment horizontal="center" vertical="center" wrapText="1"/>
    </x:xf>
    <x:xf numFmtId="0" fontId="8" fillId="5" borderId="32" xfId="0" applyFont="1" applyFill="1" applyBorder="1" applyAlignment="1">
      <x:alignment horizontal="center" vertical="center" wrapText="1"/>
    </x:xf>
    <x:xf numFmtId="0" fontId="8" fillId="5" borderId="18" xfId="0" applyFont="1" applyFill="1" applyBorder="1" applyAlignment="1">
      <x:alignment horizontal="center" vertical="center" wrapText="1"/>
    </x:xf>
    <x:xf numFmtId="0" fontId="8" fillId="5" borderId="19" xfId="0" applyFont="1" applyFill="1" applyBorder="1" applyAlignment="1">
      <x:alignment horizontal="center" vertical="center" wrapText="1"/>
    </x:xf>
    <x:xf numFmtId="0" fontId="8" fillId="7" borderId="12" xfId="0" applyFont="1" applyFill="1" applyBorder="1" applyAlignment="1">
      <x:alignment horizontal="center" vertical="center" wrapText="1"/>
    </x:xf>
    <x:xf numFmtId="0" fontId="8" fillId="7" borderId="13" xfId="0" applyFont="1" applyFill="1" applyBorder="1" applyAlignment="1">
      <x:alignment horizontal="center" vertical="center" wrapText="1"/>
    </x:xf>
    <x:xf numFmtId="0" fontId="8" fillId="7" borderId="14" xfId="0" applyFont="1" applyFill="1" applyBorder="1" applyAlignment="1">
      <x:alignment horizontal="center" vertical="center" wrapText="1"/>
    </x:xf>
    <x:xf numFmtId="0" fontId="8" fillId="7" borderId="15" xfId="0" applyFont="1" applyFill="1" applyBorder="1" applyAlignment="1">
      <x:alignment horizontal="center" vertical="center" wrapText="1"/>
    </x:xf>
    <x:xf numFmtId="0" fontId="8" fillId="7" borderId="0" xfId="0" applyFont="1" applyFill="1" applyAlignment="1">
      <x:alignment horizontal="center" vertical="center" wrapText="1"/>
    </x:xf>
    <x:xf numFmtId="0" fontId="8" fillId="7" borderId="16" xfId="0" applyFont="1" applyFill="1" applyBorder="1" applyAlignment="1">
      <x:alignment horizontal="center" vertical="center" wrapText="1"/>
    </x:xf>
    <x:xf numFmtId="0" fontId="8" fillId="7" borderId="17" xfId="0" applyFont="1" applyFill="1" applyBorder="1" applyAlignment="1">
      <x:alignment horizontal="center" vertical="center" wrapText="1"/>
    </x:xf>
    <x:xf numFmtId="0" fontId="8" fillId="7" borderId="18" xfId="0" applyFont="1" applyFill="1" applyBorder="1" applyAlignment="1">
      <x:alignment horizontal="center" vertical="center" wrapText="1"/>
    </x:xf>
    <x:xf numFmtId="0" fontId="8" fillId="7" borderId="19" xfId="0" applyFont="1" applyFill="1" applyBorder="1" applyAlignment="1">
      <x:alignment horizontal="center" vertical="center" wrapText="1"/>
    </x:xf>
    <x:xf numFmtId="0" fontId="13" fillId="4" borderId="7" xfId="0" applyFont="1" applyFill="1" applyBorder="1" applyAlignment="1">
      <x:alignment horizontal="center" vertical="center" wrapText="1"/>
    </x:xf>
    <x:xf numFmtId="0" fontId="13" fillId="4" borderId="0" xfId="0" applyFont="1" applyFill="1" applyAlignment="1">
      <x:alignment horizontal="center" vertical="center" wrapText="1"/>
    </x:xf>
    <x:xf numFmtId="0" fontId="13" fillId="4" borderId="8" xfId="0" applyFont="1" applyFill="1" applyBorder="1" applyAlignment="1">
      <x:alignment horizontal="center" vertical="center" wrapText="1"/>
    </x:xf>
    <x:xf numFmtId="0" fontId="13" fillId="4" borderId="0" xfId="0" applyFont="1" applyFill="1" applyAlignment="1">
      <x:alignment horizontal="center" vertical="center"/>
    </x:xf>
    <x:xf numFmtId="0" fontId="14" fillId="6" borderId="0" xfId="0" applyFont="1" applyFill="1" applyAlignment="1">
      <x:alignment horizontal="center" vertical="center" wrapText="1"/>
    </x:xf>
    <x:xf numFmtId="0" fontId="8" fillId="5" borderId="39" xfId="0" applyFont="1" applyFill="1" applyBorder="1" applyAlignment="1">
      <x:alignment horizontal="center" vertical="center" wrapText="1"/>
    </x:xf>
    <x:xf numFmtId="0" fontId="8" fillId="5" borderId="40" xfId="0" applyFont="1" applyFill="1" applyBorder="1" applyAlignment="1">
      <x:alignment horizontal="center" vertical="center" wrapText="1"/>
    </x:xf>
    <x:xf numFmtId="0" fontId="8" fillId="5" borderId="41" xfId="0" applyFont="1" applyFill="1" applyBorder="1" applyAlignment="1">
      <x:alignment horizontal="center" vertical="center" wrapText="1"/>
    </x:xf>
    <x:xf numFmtId="0" fontId="14" fillId="6" borderId="7" xfId="0" applyFont="1" applyFill="1" applyBorder="1" applyAlignment="1">
      <x:alignment horizontal="center" vertical="center" wrapText="1"/>
    </x:xf>
    <x:xf numFmtId="164" fontId="14" fillId="6" borderId="0" xfId="0" applyNumberFormat="1" applyFont="1" applyFill="1" applyAlignment="1">
      <x:alignment horizontal="center" vertical="center" wrapText="1"/>
    </x:xf>
    <x:xf numFmtId="0" fontId="6" fillId="3" borderId="5" xfId="0" applyFont="1" applyFill="1" applyBorder="1" applyAlignment="1">
      <x:alignment horizontal="center" vertical="center"/>
    </x:xf>
    <x:xf numFmtId="0" fontId="6" fillId="3" borderId="6" xfId="0" applyFont="1" applyFill="1" applyBorder="1" applyAlignment="1">
      <x:alignment horizontal="center" vertical="center"/>
    </x:xf>
    <x:xf numFmtId="164" fontId="6" fillId="3" borderId="0" xfId="0" applyNumberFormat="1" applyFont="1" applyFill="1" applyAlignment="1">
      <x:alignment horizontal="center" vertical="center"/>
    </x:xf>
    <x:xf numFmtId="0" fontId="7" fillId="7" borderId="0" xfId="0" applyFont="1" applyFill="1" applyAlignment="1">
      <x:alignment horizontal="center" vertical="center" wrapText="1"/>
    </x:xf>
    <x:xf numFmtId="0" fontId="11" fillId="6" borderId="4" xfId="0" applyFont="1" applyFill="1" applyBorder="1" applyAlignment="1">
      <x:alignment horizontal="center" vertical="center" wrapText="1"/>
    </x:xf>
    <x:xf numFmtId="0" fontId="11" fillId="6" borderId="5" xfId="0" applyFont="1" applyFill="1" applyBorder="1" applyAlignment="1">
      <x:alignment horizontal="center" vertical="center" wrapText="1"/>
    </x:xf>
    <x:xf numFmtId="0" fontId="11" fillId="6" borderId="6" xfId="0" applyFont="1" applyFill="1" applyBorder="1" applyAlignment="1">
      <x:alignment horizontal="center" vertical="center" wrapText="1"/>
    </x:xf>
    <x:xf numFmtId="0" fontId="11" fillId="6" borderId="0" xfId="0" applyFont="1" applyFill="1" applyAlignment="1">
      <x:alignment horizontal="center" vertical="center" wrapText="1"/>
    </x:xf>
    <x:xf numFmtId="0" fontId="11" fillId="6" borderId="7" xfId="0" applyFont="1" applyFill="1" applyBorder="1" applyAlignment="1">
      <x:alignment horizontal="center" vertical="center" wrapText="1"/>
    </x:xf>
    <x:xf numFmtId="0" fontId="11" fillId="6" borderId="8" xfId="0" applyFont="1" applyFill="1" applyBorder="1" applyAlignment="1">
      <x:alignment horizontal="center" vertical="center" wrapText="1"/>
    </x:xf>
    <x:xf numFmtId="0" fontId="6" fillId="4" borderId="0" xfId="0" applyFont="1" applyFill="1" applyAlignment="1">
      <x:alignment horizontal="center" vertical="center" wrapText="1"/>
    </x:xf>
    <x:xf numFmtId="0" fontId="0" fillId="0" borderId="65" xfId="0" applyNumberFormat="1" applyFont="1" applyFill="1" applyBorder="1"/>
    <x:xf numFmtId="0" fontId="2" fillId="2" borderId="65" xfId="0" applyNumberFormat="1" applyFont="1" applyFill="1" applyBorder="1" applyAlignment="1">
      <x:alignment horizontal="center" vertical="center"/>
    </x:xf>
    <x:xf numFmtId="0" fontId="2" fillId="2" borderId="65" xfId="0" applyNumberFormat="1" applyFont="1" applyFill="1" applyBorder="1" applyAlignment="1">
      <x:alignment horizontal="center" vertical="center" wrapText="1"/>
    </x:xf>
    <x:xf numFmtId="0" fontId="1" fillId="2" borderId="65" xfId="0" applyNumberFormat="1" applyFont="1" applyFill="1" applyBorder="1" applyAlignment="1">
      <x:alignment horizontal="left" vertical="center"/>
    </x:xf>
    <x:xf numFmtId="0" fontId="1" fillId="2" borderId="65" xfId="0" applyNumberFormat="1" applyFont="1" applyFill="1" applyBorder="1" applyAlignment="1">
      <x:alignment vertical="center"/>
    </x:xf>
    <x:xf numFmtId="0" fontId="1" fillId="3" borderId="65" xfId="0" applyNumberFormat="1" applyFont="1" applyFill="1" applyBorder="1" applyAlignment="1">
      <x:alignment vertical="center"/>
    </x:xf>
    <x:xf numFmtId="0" fontId="7" fillId="7" borderId="65" xfId="0" applyNumberFormat="1" applyFont="1" applyFill="1" applyBorder="1" applyAlignment="1">
      <x:alignment horizontal="left" vertical="center" wrapText="1"/>
    </x:xf>
    <x:xf numFmtId="0" fontId="1" fillId="2" borderId="65" xfId="0" applyNumberFormat="1" applyFont="1" applyFill="1" applyBorder="1" applyAlignment="1">
      <x:alignment horizontal="left" vertical="center" wrapText="1"/>
    </x:xf>
    <x:xf numFmtId="0" fontId="2" fillId="2" borderId="65" xfId="0" applyNumberFormat="1" applyFont="1" applyFill="1" applyBorder="1" applyAlignment="1">
      <x:alignment horizontal="left" vertical="center" wrapText="1"/>
    </x:xf>
    <x:xf numFmtId="0" fontId="13" fillId="4" borderId="65" xfId="0" applyNumberFormat="1" applyFont="1" applyFill="1" applyBorder="1" applyAlignment="1">
      <x:alignment horizontal="center" vertical="center" wrapText="1"/>
    </x:xf>
    <x:xf numFmtId="0" fontId="7" fillId="2" borderId="65" xfId="0" applyNumberFormat="1" applyFont="1" applyFill="1" applyBorder="1" applyAlignment="1">
      <x:alignment horizontal="left" vertical="center" wrapText="1"/>
    </x:xf>
    <x:xf numFmtId="0" fontId="8" fillId="2" borderId="65" xfId="0" applyNumberFormat="1" applyFont="1" applyFill="1" applyBorder="1" applyAlignment="1">
      <x:alignment horizontal="left" vertical="center" wrapText="1"/>
    </x:xf>
    <x:xf numFmtId="0" fontId="7" fillId="2" borderId="65" xfId="0" applyNumberFormat="1" applyFont="1" applyFill="1" applyBorder="1" applyAlignment="1">
      <x:alignment vertical="center" wrapText="1"/>
    </x:xf>
    <x:xf numFmtId="0" fontId="7" fillId="6" borderId="65" xfId="0" applyNumberFormat="1" applyFont="1" applyFill="1" applyBorder="1" applyAlignment="1">
      <x:alignment horizontal="left" vertical="center" wrapText="1"/>
    </x:xf>
    <x:xf numFmtId="0" fontId="7" fillId="6" borderId="65" xfId="0" applyNumberFormat="1" applyFont="1" applyFill="1" applyBorder="1" applyAlignment="1">
      <x:alignment vertical="center" wrapText="1"/>
    </x:xf>
    <x:xf numFmtId="0" fontId="14" fillId="6" borderId="65" xfId="0" applyNumberFormat="1" applyFont="1" applyFill="1" applyBorder="1" applyAlignment="1">
      <x:alignment horizontal="center" vertical="center" wrapText="1"/>
    </x:xf>
    <x:xf numFmtId="0" fontId="6" fillId="4" borderId="65" xfId="0" applyNumberFormat="1" applyFont="1" applyFill="1" applyBorder="1" applyAlignment="1">
      <x:alignment horizontal="center" vertical="center" wrapText="1"/>
    </x:xf>
    <x:xf numFmtId="164" fontId="1" fillId="2" borderId="65" xfId="0" applyNumberFormat="1" applyFont="1" applyFill="1" applyBorder="1" applyAlignment="1">
      <x:alignment horizontal="left" vertical="center"/>
    </x:xf>
    <x:xf numFmtId="164" fontId="13" fillId="4" borderId="65" xfId="0" applyNumberFormat="1" applyFont="1" applyFill="1" applyBorder="1" applyAlignment="1">
      <x:alignment horizontal="center" vertical="center" wrapText="1"/>
    </x:xf>
    <x:xf numFmtId="164" fontId="7" fillId="2" borderId="65" xfId="0" applyNumberFormat="1" applyFont="1" applyFill="1" applyBorder="1" applyAlignment="1">
      <x:alignment horizontal="left" vertical="center" wrapText="1"/>
    </x:xf>
    <x:xf numFmtId="164" fontId="7" fillId="2" borderId="65" xfId="0" applyNumberFormat="1" applyFont="1" applyFill="1" applyBorder="1" applyAlignment="1">
      <x:alignment vertical="center" wrapText="1"/>
    </x:xf>
    <x:xf numFmtId="0" fontId="7" fillId="5" borderId="65" xfId="0" applyNumberFormat="1" applyFont="1" applyFill="1" applyBorder="1" applyAlignment="1">
      <x:alignment horizontal="left" vertical="center" wrapText="1"/>
    </x:xf>
    <x:xf numFmtId="0" fontId="7" fillId="8" borderId="65" xfId="0" applyNumberFormat="1" applyFont="1" applyFill="1" applyBorder="1" applyAlignment="1">
      <x:alignment horizontal="left" vertical="center" wrapText="1"/>
    </x:xf>
    <x:xf numFmtId="0" fontId="7" fillId="8" borderId="65" xfId="0" applyNumberFormat="1" applyFont="1" applyFill="1" applyBorder="1" applyAlignment="1">
      <x:alignment vertical="center" wrapText="1"/>
    </x:xf>
    <x:xf numFmtId="0" fontId="7" fillId="9" borderId="65" xfId="0" applyNumberFormat="1" applyFont="1" applyFill="1" applyBorder="1" applyAlignment="1">
      <x:alignment vertical="center" wrapText="1"/>
    </x:xf>
    <x:xf numFmtId="0" fontId="8" fillId="9" borderId="65" xfId="0" applyNumberFormat="1" applyFont="1" applyFill="1" applyBorder="1" applyAlignment="1">
      <x:alignment horizontal="center" vertical="center"/>
    </x:xf>
    <x:xf numFmtId="0" fontId="7" fillId="9" borderId="65" xfId="0" applyNumberFormat="1" applyFont="1" applyFill="1" applyBorder="1" applyAlignment="1">
      <x:alignment horizontal="left" vertical="center" wrapText="1"/>
    </x:xf>
    <x:xf numFmtId="1" fontId="7" fillId="2" borderId="65" xfId="0" applyNumberFormat="1" applyFont="1" applyFill="1" applyBorder="1" applyAlignment="1">
      <x:alignment horizontal="left" vertical="center" wrapText="1"/>
    </x:xf>
    <x:xf numFmtId="0" fontId="17" fillId="6" borderId="65" xfId="0" applyNumberFormat="1" applyFont="1" applyFill="1" applyBorder="1" applyAlignment="1">
      <x:alignment horizontal="center" vertical="center" wrapText="1"/>
    </x:xf>
    <x:xf numFmtId="1" fontId="7" fillId="8" borderId="65" xfId="0" applyNumberFormat="1" applyFont="1" applyFill="1" applyBorder="1" applyAlignment="1">
      <x:alignment horizontal="left" vertical="center" wrapText="1"/>
    </x:xf>
    <x:xf numFmtId="1" fontId="7" fillId="9" borderId="65" xfId="0" applyNumberFormat="1" applyFont="1" applyFill="1" applyBorder="1" applyAlignment="1">
      <x:alignment horizontal="left" vertical="center" wrapText="1"/>
    </x:xf>
    <x:xf numFmtId="1" fontId="7" fillId="9" borderId="65" xfId="0" applyNumberFormat="1" applyFont="1" applyFill="1" applyBorder="1" applyAlignment="1">
      <x:alignment vertical="center" wrapText="1"/>
    </x:xf>
    <x:xf numFmtId="164" fontId="11" fillId="6" borderId="65" xfId="0" applyNumberFormat="1" applyFont="1" applyFill="1" applyBorder="1" applyAlignment="1">
      <x:alignment horizontal="center" vertical="center"/>
    </x:xf>
    <x:xf numFmtId="0" fontId="3" fillId="4" borderId="65" xfId="0" applyNumberFormat="1" applyFont="1" applyFill="1" applyBorder="1" applyAlignment="1">
      <x:alignment horizontal="left" vertical="center"/>
    </x:xf>
    <x:xf numFmtId="0" fontId="3" fillId="4" borderId="65" xfId="0" applyNumberFormat="1" applyFont="1" applyFill="1" applyBorder="1" applyAlignment="1">
      <x:alignment horizontal="left" vertical="center" wrapText="1"/>
    </x:xf>
    <x:xf numFmtId="0" fontId="4" fillId="5" borderId="65" xfId="0" applyNumberFormat="1" applyFont="1" applyFill="1" applyBorder="1" applyAlignment="1">
      <x:alignment horizontal="right" vertical="center" wrapText="1"/>
    </x:xf>
    <x:xf numFmtId="0" fontId="5" fillId="6" borderId="65" xfId="0" applyNumberFormat="1" applyFont="1" applyFill="1" applyBorder="1" applyAlignment="1">
      <x:alignment horizontal="center" vertical="center" wrapText="1"/>
    </x:xf>
    <x:xf numFmtId="0" fontId="6" fillId="4" borderId="65" xfId="0" applyNumberFormat="1" applyFont="1" applyFill="1" applyBorder="1" applyAlignment="1">
      <x:alignment horizontal="center" vertical="center"/>
    </x:xf>
    <x:xf numFmtId="0" fontId="6" fillId="3" borderId="65" xfId="0" applyNumberFormat="1" applyFont="1" applyFill="1" applyBorder="1" applyAlignment="1">
      <x:alignment horizontal="center" vertical="center"/>
    </x:xf>
    <x:xf numFmtId="0" fontId="9" fillId="2" borderId="65" xfId="0" applyNumberFormat="1" applyFont="1" applyFill="1" applyBorder="1" applyAlignment="1">
      <x:alignment horizontal="center" vertical="center"/>
    </x:xf>
    <x:xf numFmtId="0" fontId="2" fillId="6" borderId="65" xfId="0" applyNumberFormat="1" applyFont="1" applyFill="1" applyBorder="1" applyAlignment="1">
      <x:alignment horizontal="center" vertical="center" wrapText="1"/>
    </x:xf>
    <x:xf numFmtId="0" fontId="2" fillId="5" borderId="65" xfId="0" applyNumberFormat="1" applyFont="1" applyFill="1" applyBorder="1" applyAlignment="1">
      <x:alignment horizontal="center" vertical="center" wrapText="1"/>
    </x:xf>
    <x:xf numFmtId="0" fontId="2" fillId="8" borderId="65" xfId="0" applyNumberFormat="1" applyFont="1" applyFill="1" applyBorder="1" applyAlignment="1">
      <x:alignment horizontal="center" vertical="center" wrapText="1"/>
    </x:xf>
    <x:xf numFmtId="0" fontId="2" fillId="7" borderId="65" xfId="0" applyNumberFormat="1" applyFont="1" applyFill="1" applyBorder="1" applyAlignment="1">
      <x:alignment horizontal="center" vertical="center" wrapText="1"/>
    </x:xf>
    <x:xf numFmtId="0" fontId="10" fillId="4" borderId="65" xfId="0" applyNumberFormat="1" applyFont="1" applyFill="1" applyBorder="1" applyAlignment="1">
      <x:alignment horizontal="left" vertical="center"/>
    </x:xf>
    <x:xf numFmtId="0" fontId="11" fillId="6" borderId="65" xfId="0" applyNumberFormat="1" applyFont="1" applyFill="1" applyBorder="1" applyAlignment="1">
      <x:alignment horizontal="left" vertical="center" wrapText="1"/>
    </x:xf>
    <x:xf numFmtId="0" fontId="12" fillId="5" borderId="65" xfId="0" applyNumberFormat="1" applyFont="1" applyFill="1" applyBorder="1" applyAlignment="1">
      <x:alignment horizontal="right" vertical="center" wrapText="1"/>
    </x:xf>
    <x:xf numFmtId="0" fontId="9" fillId="7" borderId="65" xfId="0" applyNumberFormat="1" applyFont="1" applyFill="1" applyBorder="1" applyAlignment="1">
      <x:alignment horizontal="center" vertical="center"/>
    </x:xf>
    <x:xf numFmtId="0" fontId="15" fillId="4" borderId="65" xfId="0" applyNumberFormat="1" applyFont="1" applyFill="1" applyBorder="1" applyAlignment="1">
      <x:alignment horizontal="left" vertical="center"/>
    </x:xf>
    <x:xf numFmtId="164" fontId="12" fillId="5" borderId="65" xfId="0" applyNumberFormat="1" applyFont="1" applyFill="1" applyBorder="1" applyAlignment="1">
      <x:alignment horizontal="right" vertical="center" wrapText="1"/>
    </x:xf>
    <x:xf numFmtId="164" fontId="2" fillId="6" borderId="65" xfId="0" applyNumberFormat="1" applyFont="1" applyFill="1" applyBorder="1" applyAlignment="1">
      <x:alignment horizontal="center" vertical="center" wrapText="1"/>
    </x:xf>
    <x:xf numFmtId="0" fontId="18" fillId="5" borderId="65" xfId="0" applyNumberFormat="1" applyFont="1" applyFill="1" applyBorder="1" applyAlignment="1">
      <x:alignment horizontal="right" vertical="center" wrapText="1"/>
    </x:xf>
    <x:xf numFmtId="0" fontId="16" fillId="6" borderId="65" xfId="0" applyNumberFormat="1" applyFont="1" applyFill="1" applyBorder="1" applyAlignment="1">
      <x:alignment horizontal="center" vertical="center" wrapText="1"/>
    </x:xf>
    <x:xf numFmtId="0" fontId="8" fillId="6" borderId="65" xfId="0" applyNumberFormat="1" applyFont="1" applyFill="1" applyBorder="1" applyAlignment="1">
      <x:alignment horizontal="center" vertical="center" wrapText="1"/>
    </x:xf>
    <x:xf numFmtId="0" fontId="8" fillId="5" borderId="65" xfId="0" applyNumberFormat="1" applyFont="1" applyFill="1" applyBorder="1" applyAlignment="1">
      <x:alignment horizontal="center" vertical="center" wrapText="1"/>
    </x:xf>
    <x:xf numFmtId="0" fontId="8" fillId="7" borderId="65" xfId="0" applyNumberFormat="1" applyFont="1" applyFill="1" applyBorder="1" applyAlignment="1">
      <x:alignment horizontal="center" vertical="center" wrapText="1"/>
    </x:xf>
    <x:xf numFmtId="0" fontId="13" fillId="4" borderId="65" xfId="0" applyNumberFormat="1" applyFont="1" applyFill="1" applyBorder="1" applyAlignment="1">
      <x:alignment horizontal="center" vertical="center"/>
    </x:xf>
    <x:xf numFmtId="164" fontId="14" fillId="6" borderId="65" xfId="0" applyNumberFormat="1" applyFont="1" applyFill="1" applyBorder="1" applyAlignment="1">
      <x:alignment horizontal="center" vertical="center" wrapText="1"/>
    </x:xf>
    <x:xf numFmtId="164" fontId="6" fillId="3" borderId="65" xfId="0" applyNumberFormat="1" applyFont="1" applyFill="1" applyBorder="1" applyAlignment="1">
      <x:alignment horizontal="center" vertical="center"/>
    </x:xf>
    <x:xf numFmtId="0" fontId="7" fillId="7" borderId="65" xfId="0" applyNumberFormat="1" applyFont="1" applyFill="1" applyBorder="1" applyAlignment="1">
      <x:alignment horizontal="center" vertical="center" wrapText="1"/>
    </x:xf>
    <x:xf numFmtId="0" fontId="11" fillId="6" borderId="65" xfId="0" applyNumberFormat="1" applyFont="1" applyFill="1" applyBorder="1" applyAlignment="1">
      <x:alignment horizontal="center" vertical="center" wrapText="1"/>
    </x:xf>
    <x:xf numFmtId="0" fontId="19" fillId="5" borderId="0" xfId="0" applyNumberFormat="1" applyFont="1" applyFill="1" applyBorder="1" applyAlignment="1">
      <x:alignment horizontal="right" vertical="center" wrapText="1"/>
    </x:xf>
    <x:xf numFmtId="0" fontId="19" fillId="5" borderId="65" xfId="0" applyNumberFormat="1" applyFont="1" applyFill="1" applyBorder="1" applyAlignment="1">
      <x:alignment horizontal="right" vertical="center" wrapText="1"/>
    </x:xf>
    <x:xf numFmtId="0" fontId="20" fillId="5" borderId="0" xfId="0" applyNumberFormat="1" applyFont="1" applyFill="1" applyBorder="1" applyAlignment="1">
      <x:alignment horizontal="right" vertical="center" wrapText="1"/>
    </x:xf>
    <x:xf numFmtId="0" fontId="20" fillId="5" borderId="65" xfId="0" applyNumberFormat="1" applyFont="1" applyFill="1" applyBorder="1" applyAlignment="1">
      <x:alignment horizontal="right" vertical="center" wrapText="1"/>
    </x:xf>
    <x:xf numFmtId="0" fontId="21" fillId="5" borderId="0" xfId="0" applyNumberFormat="1" applyFont="1" applyFill="1" applyBorder="1" applyAlignment="1">
      <x:alignment horizontal="right" vertical="center" wrapText="1"/>
    </x:xf>
    <x:xf numFmtId="0" fontId="21" fillId="5" borderId="65" xfId="0" applyNumberFormat="1" applyFont="1" applyFill="1" applyBorder="1" applyAlignment="1">
      <x:alignment horizontal="right" vertical="center" wrapText="1"/>
    </x:xf>
  </x:cellXfs>
  <x:cellStyles count="1">
    <x:cellStyle name="Normal" xfId="0"/>
  </x:cellStyles>
  <x:dxfs count="4">
    <x:dxf>
      <x:font>
        <x:b/>
        <x:color rgb="FF50BE87"/>
      </x:font>
      <x:fill>
        <x:patternFill>
          <x:bgColor rgb="FFEAF8F1"/>
        </x:patternFill>
      </x:fill>
    </x:dxf>
    <x:dxf>
      <x:font>
        <x:b/>
        <x:color rgb="FFFF7900"/>
      </x:font>
      <x:fill>
        <x:patternFill>
          <x:bgColor rgb="FFFFF3E8"/>
        </x:patternFill>
      </x:fill>
    </x:dxf>
    <x:dxf>
      <x:font>
        <x:b/>
        <x:color rgb="FFFF7900"/>
      </x:font>
      <x:fill>
        <x:patternFill>
          <x:bgColor rgb="FFFFF3E8"/>
        </x:patternFill>
      </x:fill>
    </x:dxf>
    <x:dxf>
      <x:font>
        <x:b/>
        <x:color rgb="FFFF7900"/>
      </x:font>
      <x:fill>
        <x:patternFill>
          <x:bgColor rgb="FFFFF3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13bf0e890d4e64" /><Relationship Type="http://schemas.openxmlformats.org/officeDocument/2006/relationships/theme" Target="/xl/theme/theme1.xml" Id="R8013d562a8dd4265" /><Relationship Type="http://schemas.openxmlformats.org/officeDocument/2006/relationships/sheetMetadata" Target="/xl/metadata1.xml" Id="R06b8c7ba40d047f6" /><Relationship Type="http://schemas.openxmlformats.org/officeDocument/2006/relationships/sharedStrings" Target="/xl/sharedStrings.xml" Id="Rbd5cd19915c94953" /><Relationship Type="http://schemas.openxmlformats.org/officeDocument/2006/relationships/worksheet" Target="/xl/worksheets/sheet1.xml" Id="R90d3f8404ab4490e" /><Relationship Type="http://schemas.openxmlformats.org/officeDocument/2006/relationships/worksheet" Target="/xl/worksheets/sheet2.xml" Id="Rbfd459baffe24007" /><Relationship Type="http://schemas.openxmlformats.org/officeDocument/2006/relationships/worksheet" Target="/xl/worksheets/sheet3.xml" Id="Re076d9c8b41c4265" /><Relationship Type="http://schemas.openxmlformats.org/officeDocument/2006/relationships/worksheet" Target="/xl/worksheets/sheet4.xml" Id="R7cfa82666458433a" /><Relationship Type="http://schemas.openxmlformats.org/officeDocument/2006/relationships/worksheet" Target="/xl/worksheets/sheet5.xml" Id="R48a9fc9040da4ab9" /><Relationship Type="http://schemas.openxmlformats.org/officeDocument/2006/relationships/worksheet" Target="/xl/worksheets/sheet6.xml" Id="R1aa87cf4c73444a9" /><Relationship Type="http://schemas.openxmlformats.org/officeDocument/2006/relationships/worksheet" Target="/xl/worksheets/sheet7.xml" Id="Re1f685c16316444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531a8e4b5f94295" /></Relationships>
</file>

<file path=xl/drawings/drawing1.xml><?xml version="1.0" encoding="utf-8"?>
<xdr:wsDr xmlns:xdr="http://schemas.openxmlformats.org/drawingml/2006/spreadsheetDrawing">
  <xdr:oneCellAnchor>
    <xdr:from>
      <xdr:col>3</xdr:col>
      <xdr:colOff>114300</xdr:colOff>
      <xdr:row>1</xdr:row>
      <xdr:rowOff>57150</xdr:rowOff>
    </xdr:from>
    <xdr:ext cx="3429000" cy="1304925"/>
    <xdr:pic>
      <xdr:nvPicPr>
        <xdr:cNvPr id="1" name="/xl/media/image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31a8e4b5f9429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3c2ed97b3f84258" /></Relationships>
</file>

<file path=xl/worksheets/sheet1.xml><?xml version="1.0" encoding="utf-8"?>
<x:worksheet xmlns:x="http://schemas.openxmlformats.org/spreadsheetml/2006/main">
  <x:sheetFormatPr defaultRowHeight="13.800000190734863"/>
  <x:cols>
    <x:col min="1" max="1" width="4" customWidth="1"/>
    <x:col min="2" max="11" width="14" customWidth="1"/>
    <x:col min="12" max="12" width="4" customWidth="1"/>
  </x:cols>
  <x:sheetData>
    <x:row r="1" ht="16.799999237060547" customHeight="1">
      <x:c r="A1" s="4"/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16.799999237060547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</x:row>
    <x:row r="3" ht="16.799999237060547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16.799999237060547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</x:row>
    <x:row r="5" ht="16.799999237060547" customHeight="1">
      <x:c r="A5" s="4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4"/>
    </x:row>
    <x:row r="6" ht="16.799999237060547" customHeight="1">
      <x:c r="A6" s="4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4"/>
    </x:row>
    <x:row r="7" ht="16.799999237060547" customHeight="1">
      <x:c r="A7" s="4"/>
      <x:c r="B7" s="4"/>
      <x:c r="C7" s="4"/>
      <x:c r="D7" s="4"/>
      <x:c r="E7" s="4"/>
      <x:c r="F7" s="4"/>
      <x:c r="G7" s="4"/>
      <x:c r="H7" s="4"/>
      <x:c r="I7" s="4"/>
      <x:c r="J7" s="4"/>
      <x:c r="K7" s="4"/>
      <x:c r="L7" s="4"/>
    </x:row>
    <x:row r="8" ht="16.799999237060547" customHeight="1">
      <x:c r="A8" s="4"/>
      <x:c r="B8" s="4"/>
      <x:c r="C8" s="4"/>
      <x:c r="D8" s="4"/>
      <x:c r="E8" s="4"/>
      <x:c r="F8" s="4"/>
      <x:c r="G8" s="4"/>
      <x:c r="H8" s="4"/>
      <x:c r="I8" s="4"/>
      <x:c r="J8" s="4"/>
      <x:c r="K8" s="4"/>
      <x:c r="L8" s="4"/>
    </x:row>
    <x:row r="9" ht="16.799999237060547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</x:row>
    <x:row r="10" ht="16.799999237060547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4"/>
      <x:c r="L10" s="4"/>
    </x:row>
    <x:row r="11" ht="20.850000381469727" customHeight="1">
      <x:c r="A11" s="1"/>
      <x:c r="B11" s="109" t="s">
        <x:v>0</x:v>
      </x:c>
      <x:c r="C11" s="109"/>
      <x:c r="D11" s="109"/>
      <x:c r="E11" s="109"/>
      <x:c r="F11" s="109"/>
      <x:c r="G11" s="109"/>
      <x:c r="H11" s="109"/>
      <x:c r="I11" s="109"/>
      <x:c r="J11" s="109"/>
      <x:c r="K11" s="109"/>
      <x:c r="L11" s="4"/>
    </x:row>
    <x:row r="12" ht="20.850000381469727" customHeight="1">
      <x:c r="A12" s="4"/>
      <x:c r="B12" s="109"/>
      <x:c r="C12" s="109"/>
      <x:c r="D12" s="109"/>
      <x:c r="E12" s="109"/>
      <x:c r="F12" s="109"/>
      <x:c r="G12" s="109"/>
      <x:c r="H12" s="109"/>
      <x:c r="I12" s="109"/>
      <x:c r="J12" s="109"/>
      <x:c r="K12" s="109"/>
      <x:c r="L12" s="4"/>
    </x:row>
    <x:row r="13" ht="20.850000381469727" customHeight="1">
      <x:c r="A13" s="2"/>
      <x:c r="B13" s="110"/>
      <x:c r="C13" s="110"/>
      <x:c r="D13" s="110"/>
      <x:c r="E13" s="110"/>
      <x:c r="F13" s="110"/>
      <x:c r="G13" s="110"/>
      <x:c r="H13" s="110"/>
      <x:c r="I13" s="110"/>
      <x:c r="J13" s="110"/>
      <x:c r="K13" s="109"/>
      <x:c r="L13" s="4"/>
    </x:row>
    <x:row r="14" ht="16.799999237060547" customHeight="1">
      <x:c r="A14" s="2"/>
      <x:c r="B14" s="294" t="s">
        <x:v>1</x:v>
      </x:c>
      <x:c r="C14" s="111"/>
      <x:c r="D14" s="111"/>
      <x:c r="E14" s="111"/>
      <x:c r="F14" s="111"/>
      <x:c r="G14" s="111"/>
      <x:c r="H14" s="111"/>
      <x:c r="I14" s="111"/>
      <x:c r="J14" s="111"/>
      <x:c r="K14" s="111"/>
      <x:c r="L14" s="4"/>
    </x:row>
    <x:row r="15" ht="16.799999237060547" customHeight="1">
      <x:c r="A15" s="2"/>
      <x:c r="B15" s="111"/>
      <x:c r="C15" s="111"/>
      <x:c r="D15" s="111"/>
      <x:c r="E15" s="111"/>
      <x:c r="F15" s="111"/>
      <x:c r="G15" s="111"/>
      <x:c r="H15" s="111"/>
      <x:c r="I15" s="111"/>
      <x:c r="J15" s="111"/>
      <x:c r="K15" s="111"/>
      <x:c r="L15" s="4"/>
    </x:row>
    <x:row r="16" ht="16.799999237060547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4"/>
      <x:c r="L16" s="4"/>
    </x:row>
    <x:row r="17" ht="20.850000381469727" customHeight="1">
      <x:c r="A17" s="4"/>
      <x:c r="B17" s="112" t="s">
        <x:v>2</x:v>
      </x:c>
      <x:c r="C17" s="112"/>
      <x:c r="D17" s="112"/>
      <x:c r="E17" s="112"/>
      <x:c r="F17" s="112"/>
      <x:c r="G17" s="112"/>
      <x:c r="H17" s="112"/>
      <x:c r="I17" s="112"/>
      <x:c r="J17" s="112"/>
      <x:c r="K17" s="112"/>
      <x:c r="L17" s="4"/>
    </x:row>
    <x:row r="18" ht="20.850000381469727" customHeight="1">
      <x:c r="A18" s="2"/>
      <x:c r="B18" s="112"/>
      <x:c r="C18" s="112"/>
      <x:c r="D18" s="112"/>
      <x:c r="E18" s="112"/>
      <x:c r="F18" s="112"/>
      <x:c r="G18" s="112"/>
      <x:c r="H18" s="112"/>
      <x:c r="I18" s="112"/>
      <x:c r="J18" s="112"/>
      <x:c r="K18" s="112"/>
      <x:c r="L18" s="4"/>
    </x:row>
    <x:row r="19" ht="16.799999237060547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4"/>
      <x:c r="L19" s="4"/>
    </x:row>
    <x:row r="20" ht="16.799999237060547" customHeight="1">
      <x:c r="A20" s="4"/>
      <x:c r="B20" s="113" t="s">
        <x:v>3</x:v>
      </x:c>
      <x:c r="C20" s="113"/>
      <x:c r="D20" s="113"/>
      <x:c r="E20" s="113"/>
      <x:c r="F20" s="113"/>
      <x:c r="G20" s="113"/>
      <x:c r="H20" s="113"/>
      <x:c r="I20" s="113"/>
      <x:c r="J20" s="113"/>
      <x:c r="K20" s="113"/>
      <x:c r="L20" s="4"/>
    </x:row>
    <x:row r="21" ht="16.799999237060547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4"/>
      <x:c r="L21" s="4"/>
    </x:row>
    <x:row r="22" ht="16.799999237060547" customHeight="1">
      <x:c r="A22" s="4"/>
      <x:c r="B22" s="4"/>
      <x:c r="C22" s="4"/>
      <x:c r="D22" s="4"/>
      <x:c r="E22" s="4"/>
      <x:c r="F22" s="4"/>
      <x:c r="G22" s="4"/>
      <x:c r="H22" s="4"/>
      <x:c r="I22" s="4"/>
      <x:c r="J22" s="4"/>
      <x:c r="K22" s="4"/>
      <x:c r="L22" s="4"/>
    </x:row>
    <x:row r="23" ht="16.799999237060547" customHeight="1">
      <x:c r="A23" s="4"/>
      <x:c r="B23" s="114" t="s">
        <x:v>4</x:v>
      </x:c>
      <x:c r="C23" s="114"/>
      <x:c r="D23" s="114"/>
      <x:c r="E23" s="114"/>
      <x:c r="F23" s="114"/>
      <x:c r="G23" s="114"/>
      <x:c r="H23" s="114"/>
      <x:c r="I23" s="114"/>
      <x:c r="J23" s="114"/>
      <x:c r="K23" s="114"/>
      <x:c r="L23" s="4"/>
    </x:row>
    <x:row r="24" ht="16.799999237060547" customHeight="1">
      <x:c r="A24" s="4"/>
      <x:c r="B24" s="3"/>
      <x:c r="C24" s="3"/>
      <x:c r="D24" s="3"/>
      <x:c r="E24" s="3"/>
      <x:c r="F24" s="3"/>
      <x:c r="G24" s="3"/>
      <x:c r="H24" s="3"/>
      <x:c r="I24" s="3"/>
      <x:c r="J24" s="4"/>
      <x:c r="K24" s="4"/>
      <x:c r="L24" s="4"/>
    </x:row>
    <x:row r="25" ht="22.350000381469727" customHeight="1">
      <x:c r="A25" s="4"/>
      <x:c r="B25" s="116" t="s">
        <x:v>5</x:v>
      </x:c>
      <x:c r="C25" s="117" t="s">
        <x:v>6</x:v>
      </x:c>
      <x:c r="D25" s="117"/>
      <x:c r="E25" s="118"/>
      <x:c r="F25" s="3"/>
      <x:c r="G25" s="125" t="s">
        <x:v>7</x:v>
      </x:c>
      <x:c r="H25" s="126" t="s">
        <x:v>8</x:v>
      </x:c>
      <x:c r="I25" s="126"/>
      <x:c r="J25" s="127"/>
      <x:c r="K25" s="4"/>
      <x:c r="L25" s="4"/>
    </x:row>
    <x:row r="26" ht="22.350000381469727" customHeight="1">
      <x:c r="A26" s="4"/>
      <x:c r="B26" s="119"/>
      <x:c r="C26" s="120" t="s">
        <x:v>9</x:v>
      </x:c>
      <x:c r="D26" s="120"/>
      <x:c r="E26" s="121"/>
      <x:c r="F26" s="3"/>
      <x:c r="G26" s="128"/>
      <x:c r="H26" s="129" t="s">
        <x:v>10</x:v>
      </x:c>
      <x:c r="I26" s="129"/>
      <x:c r="J26" s="130"/>
      <x:c r="K26" s="4"/>
      <x:c r="L26" s="4"/>
    </x:row>
    <x:row r="27" ht="22.350000381469727" customHeight="1">
      <x:c r="A27" s="4"/>
      <x:c r="B27" s="122"/>
      <x:c r="C27" s="123" t="s">
        <x:v>11</x:v>
      </x:c>
      <x:c r="D27" s="123"/>
      <x:c r="E27" s="124"/>
      <x:c r="F27" s="3"/>
      <x:c r="G27" s="131"/>
      <x:c r="H27" s="132" t="s">
        <x:v>12</x:v>
      </x:c>
      <x:c r="I27" s="132"/>
      <x:c r="J27" s="133"/>
      <x:c r="K27" s="4"/>
      <x:c r="L27" s="4"/>
    </x:row>
    <x:row r="28" ht="16.799999237060547" customHeight="1">
      <x:c r="A28" s="4"/>
      <x:c r="B28" s="4"/>
      <x:c r="C28" s="4"/>
      <x:c r="D28" s="4"/>
      <x:c r="E28" s="4"/>
      <x:c r="F28" s="4"/>
      <x:c r="G28" s="4"/>
      <x:c r="H28" s="4"/>
      <x:c r="I28" s="4"/>
      <x:c r="J28" s="4"/>
      <x:c r="K28" s="4"/>
      <x:c r="L28" s="4"/>
    </x:row>
    <x:row r="29" ht="22.350000381469727" customHeight="1">
      <x:c r="A29" s="4"/>
      <x:c r="B29" s="134" t="s">
        <x:v>13</x:v>
      </x:c>
      <x:c r="C29" s="135" t="s">
        <x:v>14</x:v>
      </x:c>
      <x:c r="D29" s="135"/>
      <x:c r="E29" s="136"/>
      <x:c r="F29" s="4"/>
      <x:c r="G29" s="143" t="s">
        <x:v>15</x:v>
      </x:c>
      <x:c r="H29" s="144" t="s">
        <x:v>16</x:v>
      </x:c>
      <x:c r="I29" s="144"/>
      <x:c r="J29" s="145"/>
      <x:c r="K29" s="4"/>
      <x:c r="L29" s="4"/>
    </x:row>
    <x:row r="30" ht="22.350000381469727" customHeight="1">
      <x:c r="A30" s="1"/>
      <x:c r="B30" s="137"/>
      <x:c r="C30" s="138" t="s">
        <x:v>17</x:v>
      </x:c>
      <x:c r="D30" s="138"/>
      <x:c r="E30" s="139"/>
      <x:c r="F30" s="1"/>
      <x:c r="G30" s="146"/>
      <x:c r="H30" s="147" t="s">
        <x:v>18</x:v>
      </x:c>
      <x:c r="I30" s="147"/>
      <x:c r="J30" s="148"/>
      <x:c r="K30" s="4"/>
      <x:c r="L30" s="4"/>
    </x:row>
    <x:row r="31" ht="22.350000381469727" customHeight="1">
      <x:c r="A31" s="4"/>
      <x:c r="B31" s="140"/>
      <x:c r="C31" s="141" t="s">
        <x:v>19</x:v>
      </x:c>
      <x:c r="D31" s="141"/>
      <x:c r="E31" s="142"/>
      <x:c r="F31" s="4"/>
      <x:c r="G31" s="149"/>
      <x:c r="H31" s="150" t="s">
        <x:v>20</x:v>
      </x:c>
      <x:c r="I31" s="150"/>
      <x:c r="J31" s="151"/>
      <x:c r="K31" s="4"/>
      <x:c r="L31" s="4"/>
    </x:row>
    <x:row r="32" ht="16.799999237060547" customHeight="1">
      <x:c r="A32" s="4"/>
      <x:c r="B32" s="4"/>
      <x:c r="C32" s="4"/>
      <x:c r="D32" s="4"/>
      <x:c r="E32" s="4"/>
      <x:c r="F32" s="4"/>
      <x:c r="G32" s="4"/>
      <x:c r="H32" s="4"/>
      <x:c r="I32" s="4"/>
      <x:c r="J32" s="4"/>
      <x:c r="K32" s="4"/>
      <x:c r="L32" s="4"/>
    </x:row>
    <x:row r="33" ht="16.799999237060547" customHeight="1">
      <x:c r="A33" s="4"/>
      <x:c r="B33" s="4"/>
      <x:c r="C33" s="4"/>
      <x:c r="D33" s="4"/>
      <x:c r="E33" s="4"/>
      <x:c r="F33" s="4"/>
      <x:c r="G33" s="4"/>
      <x:c r="H33" s="4"/>
      <x:c r="I33" s="4"/>
      <x:c r="J33" s="4"/>
      <x:c r="K33" s="4"/>
      <x:c r="L33" s="4"/>
    </x:row>
    <x:row r="34" ht="16.799999237060547" customHeight="1">
      <x:c r="A34" s="4"/>
      <x:c r="B34" s="115" t="s">
        <x:v>21</x:v>
      </x:c>
      <x:c r="C34" s="115"/>
      <x:c r="D34" s="115"/>
      <x:c r="E34" s="115"/>
      <x:c r="F34" s="115"/>
      <x:c r="G34" s="115"/>
      <x:c r="H34" s="115"/>
      <x:c r="I34" s="115"/>
      <x:c r="J34" s="115"/>
      <x:c r="K34" s="115"/>
      <x:c r="L34" s="4"/>
    </x:row>
    <x:row r="35" ht="16.799999237060547" customHeight="1">
      <x:c r="A35" s="4"/>
      <x:c r="B35" s="4"/>
      <x:c r="C35" s="4"/>
      <x:c r="D35" s="4"/>
      <x:c r="E35" s="4"/>
      <x:c r="F35" s="4"/>
      <x:c r="G35" s="4"/>
      <x:c r="H35" s="4"/>
      <x:c r="I35" s="4"/>
      <x:c r="J35" s="4"/>
      <x:c r="K35" s="4"/>
      <x:c r="L35" s="4"/>
    </x:row>
    <x:row r="36" ht="16.799999237060547" customHeight="1">
      <x:c r="A36" s="4"/>
      <x:c r="B36" s="4"/>
      <x:c r="C36" s="4"/>
      <x:c r="D36" s="4"/>
      <x:c r="E36" s="4"/>
      <x:c r="F36" s="4"/>
      <x:c r="G36" s="4"/>
      <x:c r="H36" s="4"/>
      <x:c r="I36" s="4"/>
      <x:c r="J36" s="4"/>
      <x:c r="K36" s="4"/>
      <x:c r="L36" s="4"/>
    </x:row>
  </x:sheetData>
  <x:mergeCells>
    <x:mergeCell ref="B34:K34"/>
    <x:mergeCell ref="B25:E27"/>
    <x:mergeCell ref="G25:J27"/>
    <x:mergeCell ref="B29:E31"/>
    <x:mergeCell ref="G29:J31"/>
    <x:mergeCell ref="B11:K13"/>
    <x:mergeCell ref="B14:K15"/>
    <x:mergeCell ref="B17:K18"/>
    <x:mergeCell ref="B20:K20"/>
    <x:mergeCell ref="B23:K23"/>
  </x:mergeCells>
  <x:pageMargins left="0.7" right="0.7" top="0.75" bottom="0.75" header="0.3" footer="0.3"/>
  <x:drawing xmlns:r="http://schemas.openxmlformats.org/officeDocument/2006/relationships" r:id="Rc3c2ed97b3f84258"/>
</x:worksheet>
</file>

<file path=xl/worksheets/sheet2.xml><?xml version="1.0" encoding="utf-8"?>
<x:worksheet xmlns:x="http://schemas.openxmlformats.org/spreadsheetml/2006/main">
  <x:sheetFormatPr defaultRowHeight="13.800000190734863"/>
  <x:cols>
    <x:col min="1" max="1" width="5" customWidth="1"/>
    <x:col min="2" max="2" width="10" customWidth="1"/>
    <x:col min="3" max="3" width="24" customWidth="1"/>
    <x:col min="4" max="4" width="18" customWidth="1"/>
    <x:col min="5" max="5" width="44" customWidth="1"/>
    <x:col min="6" max="10" width="8" customWidth="1"/>
  </x:cols>
  <x:sheetData>
    <x:row r="1">
      <x:c r="A1" s="152" t="s">
        <x:v>22</x:v>
      </x:c>
      <x:c r="B1" s="152"/>
      <x:c r="C1" s="152"/>
      <x:c r="D1" s="152"/>
      <x:c r="E1" s="152"/>
      <x:c r="F1" s="152"/>
      <x:c r="G1" s="152"/>
      <x:c r="H1" s="152"/>
      <x:c r="I1" s="152"/>
      <x:c r="J1" s="152"/>
    </x:row>
    <x:row r="2">
      <x:c r="A2" s="152"/>
      <x:c r="B2" s="152"/>
      <x:c r="C2" s="152"/>
      <x:c r="D2" s="152"/>
      <x:c r="E2" s="152"/>
      <x:c r="F2" s="152"/>
      <x:c r="G2" s="152"/>
      <x:c r="H2" s="152"/>
      <x:c r="I2" s="152"/>
      <x:c r="J2" s="152"/>
    </x:row>
    <x:row r="3">
      <x:c r="A3" s="294" t="s">
        <x:v>23</x:v>
      </x:c>
      <x:c r="B3" s="111"/>
      <x:c r="C3" s="111"/>
      <x:c r="D3" s="111"/>
      <x:c r="E3" s="111"/>
      <x:c r="F3" s="111"/>
      <x:c r="G3" s="111"/>
      <x:c r="H3" s="111"/>
      <x:c r="I3" s="111"/>
      <x:c r="J3" s="111"/>
    </x:row>
    <x:row r="4" ht="4.800000190734863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>
      <x:c r="A5" s="153" t="s">
        <x:v>24</x:v>
      </x:c>
      <x:c r="B5" s="154"/>
      <x:c r="C5" s="154"/>
      <x:c r="D5" s="154"/>
      <x:c r="E5" s="154"/>
      <x:c r="F5" s="154"/>
      <x:c r="G5" s="154"/>
      <x:c r="H5" s="154"/>
      <x:c r="I5" s="154"/>
      <x:c r="J5" s="154"/>
    </x:row>
    <x:row r="6">
      <x:c r="A6" s="155"/>
      <x:c r="B6" s="156"/>
      <x:c r="C6" s="156"/>
      <x:c r="D6" s="157"/>
      <x:c r="E6" s="154"/>
      <x:c r="F6" s="154"/>
      <x:c r="G6" s="154"/>
      <x:c r="H6" s="154"/>
      <x:c r="I6" s="154"/>
      <x:c r="J6" s="154"/>
    </x:row>
    <x:row r="7">
      <x:c r="A7" s="296" t="s">
        <x:v>25</x:v>
      </x:c>
      <x:c r="B7" s="159"/>
      <x:c r="C7" s="159"/>
      <x:c r="D7" s="160"/>
      <x:c r="E7" s="159"/>
      <x:c r="F7" s="159"/>
      <x:c r="G7" s="159"/>
      <x:c r="H7" s="159"/>
      <x:c r="I7" s="159"/>
      <x:c r="J7" s="161"/>
    </x:row>
    <x:row r="8">
      <x:c r="A8" s="162"/>
      <x:c r="B8" s="163"/>
      <x:c r="C8" s="163"/>
      <x:c r="D8" s="164"/>
      <x:c r="E8" s="163"/>
      <x:c r="F8" s="163"/>
      <x:c r="G8" s="163"/>
      <x:c r="H8" s="163"/>
      <x:c r="I8" s="163"/>
      <x:c r="J8" s="165"/>
    </x:row>
    <x:row r="9">
      <x:c r="A9" s="12"/>
      <x:c r="B9" s="13"/>
      <x:c r="C9" s="14"/>
      <x:c r="D9" s="15"/>
      <x:c r="E9" s="4"/>
      <x:c r="F9" s="4"/>
      <x:c r="G9" s="4"/>
      <x:c r="H9" s="4"/>
      <x:c r="I9" s="4"/>
      <x:c r="J9" s="4"/>
    </x:row>
    <x:row r="10" ht="25.649999618530273" customHeight="1">
      <x:c r="A10" s="16" t="s">
        <x:v>26</x:v>
      </x:c>
      <x:c r="B10" s="17" t="s">
        <x:v>27</x:v>
      </x:c>
      <x:c r="C10" s="17" t="s">
        <x:v>28</x:v>
      </x:c>
      <x:c r="D10" s="18" t="s">
        <x:v>29</x:v>
      </x:c>
      <x:c r="E10" s="19" t="s">
        <x:v>30</x:v>
      </x:c>
      <x:c r="F10" s="4"/>
      <x:c r="G10" s="4"/>
      <x:c r="H10" s="4"/>
      <x:c r="I10" s="4"/>
      <x:c r="J10" s="4"/>
    </x:row>
    <x:row r="11" ht="25.649999618530273" customHeight="1">
      <x:c r="A11" s="48">
        <x:v>1</x:v>
      </x:c>
      <x:c r="B11" s="44" t="s">
        <x:v>31</x:v>
      </x:c>
      <x:c r="C11" s="28" t="s">
        <x:v>32</x:v>
      </x:c>
      <x:c r="D11" s="29" t="s">
        <x:v>33</x:v>
      </x:c>
      <x:c r="E11" s="32" t="s">
        <x:v>34</x:v>
      </x:c>
      <x:c r="F11" s="4"/>
      <x:c r="G11" s="4"/>
      <x:c r="H11" s="4"/>
      <x:c r="I11" s="4"/>
      <x:c r="J11" s="4"/>
    </x:row>
    <x:row r="12" ht="25.649999618530273" customHeight="1">
      <x:c r="A12" s="49">
        <x:v>2</x:v>
      </x:c>
      <x:c r="B12" s="45" t="s">
        <x:v>35</x:v>
      </x:c>
      <x:c r="C12" s="21" t="s">
        <x:v>36</x:v>
      </x:c>
      <x:c r="D12" s="22" t="s">
        <x:v>37</x:v>
      </x:c>
      <x:c r="E12" s="33" t="s">
        <x:v>38</x:v>
      </x:c>
      <x:c r="F12" s="4"/>
      <x:c r="G12" s="4"/>
      <x:c r="H12" s="4"/>
      <x:c r="I12" s="4"/>
      <x:c r="J12" s="4"/>
    </x:row>
    <x:row r="13" ht="25.649999618530273" customHeight="1">
      <x:c r="A13" s="50">
        <x:v>3</x:v>
      </x:c>
      <x:c r="B13" s="46" t="s">
        <x:v>39</x:v>
      </x:c>
      <x:c r="C13" s="24" t="s">
        <x:v>40</x:v>
      </x:c>
      <x:c r="D13" s="25" t="s">
        <x:v>41</x:v>
      </x:c>
      <x:c r="E13" s="33" t="s">
        <x:v>42</x:v>
      </x:c>
      <x:c r="F13" s="4"/>
      <x:c r="G13" s="4"/>
      <x:c r="H13" s="4"/>
      <x:c r="I13" s="4"/>
      <x:c r="J13" s="4"/>
    </x:row>
    <x:row r="14" ht="25.649999618530273" customHeight="1">
      <x:c r="A14" s="49">
        <x:v>4</x:v>
      </x:c>
      <x:c r="B14" s="45" t="s">
        <x:v>43</x:v>
      </x:c>
      <x:c r="C14" s="35" t="s">
        <x:v>44</x:v>
      </x:c>
      <x:c r="D14" s="35" t="s">
        <x:v>45</x:v>
      </x:c>
      <x:c r="E14" s="33" t="s">
        <x:v>46</x:v>
      </x:c>
      <x:c r="F14" s="4"/>
      <x:c r="G14" s="4"/>
      <x:c r="H14" s="4"/>
      <x:c r="I14" s="4"/>
      <x:c r="J14" s="4"/>
    </x:row>
    <x:row r="15" ht="25.649999618530273" customHeight="1">
      <x:c r="A15" s="51">
        <x:v>5</x:v>
      </x:c>
      <x:c r="B15" s="47" t="s">
        <x:v>47</x:v>
      </x:c>
      <x:c r="C15" s="37" t="s">
        <x:v>48</x:v>
      </x:c>
      <x:c r="D15" s="37" t="s">
        <x:v>49</x:v>
      </x:c>
      <x:c r="E15" s="38" t="s">
        <x:v>50</x:v>
      </x:c>
      <x:c r="F15" s="4"/>
      <x:c r="G15" s="4"/>
      <x:c r="H15" s="4"/>
      <x:c r="I15" s="4"/>
      <x:c r="J15" s="4"/>
    </x:row>
    <x:row r="16">
      <x:c r="A16" s="4"/>
      <x:c r="B16" s="4"/>
      <x:c r="C16" s="4"/>
      <x:c r="D16" s="4"/>
      <x:c r="E16" s="4"/>
      <x:c r="F16" s="4"/>
      <x:c r="G16" s="4"/>
      <x:c r="H16" s="4"/>
      <x:c r="I16" s="4"/>
      <x:c r="J16" s="4"/>
    </x:row>
    <x:row r="17">
      <x:c r="A17" s="4"/>
      <x:c r="B17" s="4"/>
      <x:c r="C17" s="4"/>
      <x:c r="D17" s="4"/>
      <x:c r="E17" s="4"/>
      <x:c r="F17" s="4"/>
      <x:c r="G17" s="4"/>
      <x:c r="H17" s="4"/>
      <x:c r="I17" s="4"/>
      <x:c r="J17" s="4"/>
    </x:row>
    <x:row r="18">
      <x:c r="A18" s="166" t="s">
        <x:v>51</x:v>
      </x:c>
      <x:c r="B18" s="166"/>
      <x:c r="C18" s="166"/>
      <x:c r="D18" s="166"/>
      <x:c r="E18" s="166"/>
      <x:c r="F18" s="4"/>
      <x:c r="G18" s="4"/>
      <x:c r="H18" s="4"/>
      <x:c r="I18" s="4"/>
      <x:c r="J18" s="4"/>
    </x:row>
    <x:row r="19">
      <x:c r="A19" s="4"/>
      <x:c r="B19" s="4"/>
      <x:c r="C19" s="4"/>
      <x:c r="D19" s="4"/>
      <x:c r="E19" s="4"/>
      <x:c r="F19" s="4"/>
      <x:c r="G19" s="4"/>
      <x:c r="H19" s="4"/>
      <x:c r="I19" s="4"/>
      <x:c r="J19" s="4"/>
    </x:row>
    <x:row r="20">
      <x:c r="A20" s="4"/>
      <x:c r="B20" s="4"/>
      <x:c r="C20" s="4"/>
      <x:c r="D20" s="4"/>
      <x:c r="E20" s="4"/>
      <x:c r="F20" s="4"/>
      <x:c r="G20" s="4"/>
      <x:c r="H20" s="4"/>
      <x:c r="I20" s="4"/>
      <x:c r="J20" s="4"/>
    </x:row>
    <x:row r="21">
      <x:c r="A21" s="167" t="s">
        <x:v>52</x:v>
      </x:c>
      <x:c r="B21" s="168"/>
      <x:c r="C21" s="168"/>
      <x:c r="D21" s="168"/>
      <x:c r="E21" s="168"/>
      <x:c r="F21" s="4"/>
      <x:c r="G21" s="4"/>
      <x:c r="H21" s="4"/>
      <x:c r="I21" s="4"/>
      <x:c r="J21" s="4"/>
    </x:row>
    <x:row r="22">
      <x:c r="A22" s="167"/>
      <x:c r="B22" s="168"/>
      <x:c r="C22" s="168"/>
      <x:c r="D22" s="168"/>
      <x:c r="E22" s="168"/>
      <x:c r="F22" s="4"/>
      <x:c r="G22" s="4"/>
      <x:c r="H22" s="4"/>
      <x:c r="I22" s="4"/>
      <x:c r="J22" s="4"/>
    </x:row>
    <x:row r="23">
      <x:c r="A23" s="296" t="s">
        <x:v>53</x:v>
      </x:c>
      <x:c r="B23" s="163"/>
      <x:c r="C23" s="163"/>
      <x:c r="D23" s="163"/>
      <x:c r="E23" s="163"/>
      <x:c r="F23" s="4"/>
      <x:c r="G23" s="4"/>
      <x:c r="H23" s="4"/>
      <x:c r="I23" s="4"/>
      <x:c r="J23" s="4"/>
    </x:row>
    <x:row r="24">
      <x:c r="A24" s="163"/>
      <x:c r="B24" s="163"/>
      <x:c r="C24" s="163"/>
      <x:c r="D24" s="163"/>
      <x:c r="E24" s="163"/>
      <x:c r="F24" s="4"/>
      <x:c r="G24" s="4"/>
      <x:c r="H24" s="4"/>
      <x:c r="I24" s="4"/>
      <x:c r="J24" s="4"/>
    </x:row>
    <x:row r="25">
      <x:c r="A25" s="4"/>
      <x:c r="B25" s="4"/>
      <x:c r="C25" s="4"/>
      <x:c r="D25" s="4"/>
      <x:c r="E25" s="4"/>
      <x:c r="F25" s="4"/>
      <x:c r="G25" s="4"/>
      <x:c r="H25" s="4"/>
      <x:c r="I25" s="4"/>
      <x:c r="J25" s="4"/>
    </x:row>
    <x:row r="26">
      <x:c r="A26" s="4"/>
      <x:c r="B26" s="4"/>
      <x:c r="C26" s="4"/>
      <x:c r="D26" s="4"/>
      <x:c r="E26" s="4"/>
      <x:c r="F26" s="4"/>
      <x:c r="G26" s="4"/>
      <x:c r="H26" s="4"/>
      <x:c r="I26" s="4"/>
      <x:c r="J26" s="4"/>
    </x:row>
    <x:row r="27">
      <x:c r="A27" s="4"/>
      <x:c r="B27" s="4"/>
      <x:c r="C27" s="4"/>
      <x:c r="D27" s="4"/>
      <x:c r="E27" s="4"/>
      <x:c r="F27" s="4"/>
      <x:c r="G27" s="4"/>
      <x:c r="H27" s="4"/>
      <x:c r="I27" s="4"/>
      <x:c r="J27" s="4"/>
    </x:row>
    <x:row r="28">
      <x:c r="A28" s="4"/>
      <x:c r="B28" s="4"/>
      <x:c r="C28" s="4"/>
      <x:c r="D28" s="4"/>
      <x:c r="E28" s="4"/>
      <x:c r="F28" s="4"/>
      <x:c r="G28" s="4"/>
      <x:c r="H28" s="4"/>
      <x:c r="I28" s="4"/>
      <x:c r="J28" s="4"/>
    </x:row>
  </x:sheetData>
  <x:mergeCells>
    <x:mergeCell ref="A21:E22"/>
    <x:mergeCell ref="A23:E24"/>
    <x:mergeCell ref="A1:J2"/>
    <x:mergeCell ref="A3:J3"/>
    <x:mergeCell ref="A5:J6"/>
    <x:mergeCell ref="A7:J8"/>
    <x:mergeCell ref="A18:E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3.800000190734863"/>
  <x:cols>
    <x:col min="1" max="1" width="14" customWidth="1"/>
    <x:col min="2" max="2" width="34" customWidth="1"/>
    <x:col min="3" max="3" width="22" customWidth="1"/>
    <x:col min="4" max="6" width="15" customWidth="1"/>
    <x:col min="7" max="7" width="12" customWidth="1"/>
  </x:cols>
  <x:sheetData>
    <x:row r="1">
      <x:c r="A1" s="169" t="s">
        <x:v>54</x:v>
      </x:c>
      <x:c r="B1" s="169"/>
      <x:c r="C1" s="169"/>
      <x:c r="D1" s="169"/>
      <x:c r="E1" s="169"/>
      <x:c r="F1" s="169"/>
      <x:c r="G1" s="169"/>
    </x:row>
    <x:row r="2">
      <x:c r="A2" s="169"/>
      <x:c r="B2" s="169"/>
      <x:c r="C2" s="169"/>
      <x:c r="D2" s="169"/>
      <x:c r="E2" s="169"/>
      <x:c r="F2" s="169"/>
      <x:c r="G2" s="169"/>
    </x:row>
    <x:row r="3">
      <x:c r="A3" s="294" t="s">
        <x:v>55</x:v>
      </x:c>
      <x:c r="B3" s="111"/>
      <x:c r="C3" s="111"/>
      <x:c r="D3" s="111"/>
      <x:c r="E3" s="111"/>
      <x:c r="F3" s="111"/>
      <x:c r="G3" s="111"/>
    </x:row>
    <x:row r="4" ht="4.800000190734863" customHeight="1">
      <x:c r="A4" s="4"/>
      <x:c r="B4" s="4"/>
      <x:c r="C4" s="4"/>
      <x:c r="D4" s="4"/>
      <x:c r="E4" s="4"/>
      <x:c r="F4" s="4"/>
      <x:c r="G4" s="4"/>
    </x:row>
    <x:row r="5">
      <x:c r="A5" s="153" t="s">
        <x:v>56</x:v>
      </x:c>
      <x:c r="B5" s="154"/>
      <x:c r="C5" s="154"/>
      <x:c r="D5" s="154"/>
      <x:c r="E5" s="154"/>
      <x:c r="F5" s="154"/>
      <x:c r="G5" s="154"/>
    </x:row>
    <x:row r="6">
      <x:c r="A6" s="155"/>
      <x:c r="B6" s="156"/>
      <x:c r="C6" s="156"/>
      <x:c r="D6" s="156"/>
      <x:c r="E6" s="156"/>
      <x:c r="F6" s="156"/>
      <x:c r="G6" s="157"/>
    </x:row>
    <x:row r="7">
      <x:c r="A7" s="296" t="s">
        <x:v>57</x:v>
      </x:c>
      <x:c r="B7" s="159"/>
      <x:c r="C7" s="159"/>
      <x:c r="D7" s="170"/>
      <x:c r="E7" s="170"/>
      <x:c r="F7" s="170"/>
      <x:c r="G7" s="161"/>
    </x:row>
    <x:row r="8">
      <x:c r="A8" s="162"/>
      <x:c r="B8" s="163"/>
      <x:c r="C8" s="163"/>
      <x:c r="D8" s="171"/>
      <x:c r="E8" s="171"/>
      <x:c r="F8" s="171"/>
      <x:c r="G8" s="165"/>
    </x:row>
    <x:row r="9">
      <x:c r="A9" s="53"/>
      <x:c r="B9" s="3"/>
      <x:c r="C9" s="3"/>
      <x:c r="D9" s="54"/>
      <x:c r="E9" s="54"/>
      <x:c r="F9" s="54"/>
      <x:c r="G9" s="55"/>
    </x:row>
    <x:row r="10">
      <x:c r="A10" s="172" t="s">
        <x:v>58</x:v>
      </x:c>
      <x:c r="B10" s="173"/>
      <x:c r="C10" s="173"/>
      <x:c r="D10" s="174"/>
      <x:c r="E10" s="174"/>
      <x:c r="F10" s="174"/>
      <x:c r="G10" s="175"/>
    </x:row>
    <x:row r="11">
      <x:c r="A11" s="296" t="s">
        <x:v>59</x:v>
      </x:c>
      <x:c r="B11" s="163"/>
      <x:c r="C11" s="163"/>
      <x:c r="D11" s="171"/>
      <x:c r="E11" s="171"/>
      <x:c r="F11" s="171"/>
      <x:c r="G11" s="164"/>
    </x:row>
    <x:row r="12">
      <x:c r="A12" s="53"/>
      <x:c r="B12" s="3"/>
      <x:c r="C12" s="3"/>
      <x:c r="D12" s="54"/>
      <x:c r="E12" s="54"/>
      <x:c r="F12" s="54"/>
      <x:c r="G12" s="55"/>
    </x:row>
    <x:row r="13" ht="16.049999237060547" customHeight="1">
      <x:c r="A13" s="16" t="s">
        <x:v>60</x:v>
      </x:c>
      <x:c r="B13" s="17" t="s">
        <x:v>61</x:v>
      </x:c>
      <x:c r="C13" s="17" t="s">
        <x:v>62</x:v>
      </x:c>
      <x:c r="D13" s="56" t="s">
        <x:v>63</x:v>
      </x:c>
      <x:c r="E13" s="56" t="s">
        <x:v>64</x:v>
      </x:c>
      <x:c r="F13" s="56" t="s">
        <x:v>65</x:v>
      </x:c>
      <x:c r="G13" s="19" t="s">
        <x:v>66</x:v>
      </x:c>
    </x:row>
    <x:row r="14" ht="16.049999237060547" customHeight="1">
      <x:c r="A14" s="26" t="s">
        <x:v>67</x:v>
      </x:c>
      <x:c r="B14" s="27" t="s">
        <x:v>68</x:v>
      </x:c>
      <x:c r="C14" s="27" t="s">
        <x:v>69</x:v>
      </x:c>
      <x:c r="D14" s="57">
        <x:v>46044</x:v>
      </x:c>
      <x:c r="E14" s="57">
        <x:v>46049</x:v>
      </x:c>
      <x:c r="F14" s="57">
        <x:v>46048</x:v>
      </x:c>
      <x:c r="G14" s="58" t="s">
        <x:v>70</x:v>
      </x:c>
    </x:row>
    <x:row r="15" ht="16.049999237060547" customHeight="1">
      <x:c r="A15" s="30" t="s">
        <x:v>71</x:v>
      </x:c>
      <x:c r="B15" s="20" t="s">
        <x:v>72</x:v>
      </x:c>
      <x:c r="C15" s="20" t="s">
        <x:v>73</x:v>
      </x:c>
      <x:c r="D15" s="59">
        <x:v>46173</x:v>
      </x:c>
      <x:c r="E15" s="59">
        <x:v>46184</x:v>
      </x:c>
      <x:c r="F15" s="59">
        <x:v>46183</x:v>
      </x:c>
      <x:c r="G15" s="60" t="s">
        <x:v>74</x:v>
      </x:c>
    </x:row>
    <x:row r="16" ht="16.049999237060547" customHeight="1">
      <x:c r="A16" s="30" t="s">
        <x:v>75</x:v>
      </x:c>
      <x:c r="B16" s="20" t="s">
        <x:v>76</x:v>
      </x:c>
      <x:c r="C16" s="20" t="s">
        <x:v>77</x:v>
      </x:c>
      <x:c r="D16" s="59">
        <x:v>46085</x:v>
      </x:c>
      <x:c r="E16" s="59">
        <x:v>46087</x:v>
      </x:c>
      <x:c r="F16" s="59">
        <x:v>46091</x:v>
      </x:c>
      <x:c r="G16" s="60" t="s">
        <x:v>78</x:v>
      </x:c>
    </x:row>
    <x:row r="17" ht="16.049999237060547" customHeight="1">
      <x:c r="A17" s="30" t="s">
        <x:v>79</x:v>
      </x:c>
      <x:c r="B17" s="20" t="s">
        <x:v>80</x:v>
      </x:c>
      <x:c r="C17" s="20" t="s">
        <x:v>81</x:v>
      </x:c>
      <x:c r="D17" s="59">
        <x:v>46193</x:v>
      </x:c>
      <x:c r="E17" s="59">
        <x:v>46205</x:v>
      </x:c>
      <x:c r="F17" s="59">
        <x:v>46205</x:v>
      </x:c>
      <x:c r="G17" s="60" t="s">
        <x:v>70</x:v>
      </x:c>
    </x:row>
    <x:row r="18" ht="16.049999237060547" customHeight="1">
      <x:c r="A18" s="30" t="s">
        <x:v>82</x:v>
      </x:c>
      <x:c r="B18" s="20" t="s">
        <x:v>83</x:v>
      </x:c>
      <x:c r="C18" s="20" t="s">
        <x:v>84</x:v>
      </x:c>
      <x:c r="D18" s="59">
        <x:v>46150</x:v>
      </x:c>
      <x:c r="E18" s="59">
        <x:v>46156</x:v>
      </x:c>
      <x:c r="F18" s="59">
        <x:v>46158</x:v>
      </x:c>
      <x:c r="G18" s="60" t="s">
        <x:v>78</x:v>
      </x:c>
    </x:row>
    <x:row r="19" ht="16.049999237060547" customHeight="1">
      <x:c r="A19" s="30" t="s">
        <x:v>85</x:v>
      </x:c>
      <x:c r="B19" s="20" t="s">
        <x:v>86</x:v>
      </x:c>
      <x:c r="C19" s="20">
        <x:v>66272</x:v>
      </x:c>
      <x:c r="D19" s="59">
        <x:v>46220</x:v>
      </x:c>
      <x:c r="E19" s="59">
        <x:v>46221</x:v>
      </x:c>
      <x:c r="F19" s="59">
        <x:v>46224</x:v>
      </x:c>
      <x:c r="G19" s="60" t="s">
        <x:v>78</x:v>
      </x:c>
    </x:row>
    <x:row r="20" ht="16.049999237060547" customHeight="1">
      <x:c r="A20" s="30" t="s">
        <x:v>87</x:v>
      </x:c>
      <x:c r="B20" s="20" t="s">
        <x:v>88</x:v>
      </x:c>
      <x:c r="C20" s="20" t="s">
        <x:v>89</x:v>
      </x:c>
      <x:c r="D20" s="59">
        <x:v>46205</x:v>
      </x:c>
      <x:c r="E20" s="59">
        <x:v>46215</x:v>
      </x:c>
      <x:c r="F20" s="59">
        <x:v>46214</x:v>
      </x:c>
      <x:c r="G20" s="60" t="s">
        <x:v>78</x:v>
      </x:c>
    </x:row>
    <x:row r="21" ht="16.049999237060547" customHeight="1">
      <x:c r="A21" s="30" t="s">
        <x:v>90</x:v>
      </x:c>
      <x:c r="B21" s="20" t="s">
        <x:v>91</x:v>
      </x:c>
      <x:c r="C21" s="20" t="s">
        <x:v>92</x:v>
      </x:c>
      <x:c r="D21" s="59">
        <x:v>46150</x:v>
      </x:c>
      <x:c r="E21" s="59">
        <x:v>46160</x:v>
      </x:c>
      <x:c r="F21" s="59">
        <x:v>46160</x:v>
      </x:c>
      <x:c r="G21" s="60" t="s">
        <x:v>70</x:v>
      </x:c>
    </x:row>
    <x:row r="22" ht="16.049999237060547" customHeight="1">
      <x:c r="A22" s="30" t="s">
        <x:v>93</x:v>
      </x:c>
      <x:c r="B22" s="20" t="s">
        <x:v>94</x:v>
      </x:c>
      <x:c r="C22" s="20" t="s">
        <x:v>95</x:v>
      </x:c>
      <x:c r="D22" s="59">
        <x:v>46081</x:v>
      </x:c>
      <x:c r="E22" s="59">
        <x:v>46093</x:v>
      </x:c>
      <x:c r="F22" s="59">
        <x:v>46091</x:v>
      </x:c>
      <x:c r="G22" s="60" t="s">
        <x:v>70</x:v>
      </x:c>
    </x:row>
    <x:row r="23" ht="16.049999237060547" customHeight="1">
      <x:c r="A23" s="30" t="s">
        <x:v>96</x:v>
      </x:c>
      <x:c r="B23" s="20" t="s">
        <x:v>97</x:v>
      </x:c>
      <x:c r="C23" s="20" t="s">
        <x:v>98</x:v>
      </x:c>
      <x:c r="D23" s="59">
        <x:v>46116</x:v>
      </x:c>
      <x:c r="E23" s="59">
        <x:v>46123</x:v>
      </x:c>
      <x:c r="F23" s="59">
        <x:v>46123</x:v>
      </x:c>
      <x:c r="G23" s="60" t="s">
        <x:v>70</x:v>
      </x:c>
    </x:row>
    <x:row r="24" ht="16.049999237060547" customHeight="1">
      <x:c r="A24" s="30" t="s">
        <x:v>99</x:v>
      </x:c>
      <x:c r="B24" s="20" t="s">
        <x:v>100</x:v>
      </x:c>
      <x:c r="C24" s="20" t="s">
        <x:v>101</x:v>
      </x:c>
      <x:c r="D24" s="59">
        <x:v>46105</x:v>
      </x:c>
      <x:c r="E24" s="59">
        <x:v>46109</x:v>
      </x:c>
      <x:c r="F24" s="59">
        <x:v>46113</x:v>
      </x:c>
      <x:c r="G24" s="60" t="s">
        <x:v>78</x:v>
      </x:c>
    </x:row>
    <x:row r="25" ht="16.049999237060547" customHeight="1">
      <x:c r="A25" s="30" t="s">
        <x:v>102</x:v>
      </x:c>
      <x:c r="B25" s="20" t="s">
        <x:v>103</x:v>
      </x:c>
      <x:c r="C25" s="20">
        <x:v>33507</x:v>
      </x:c>
      <x:c r="D25" s="59">
        <x:v>46151</x:v>
      </x:c>
      <x:c r="E25" s="59">
        <x:v>46162</x:v>
      </x:c>
      <x:c r="F25" s="59">
        <x:v>46160</x:v>
      </x:c>
      <x:c r="G25" s="60" t="s">
        <x:v>70</x:v>
      </x:c>
    </x:row>
    <x:row r="26" ht="16.049999237060547" customHeight="1">
      <x:c r="A26" s="30" t="s">
        <x:v>104</x:v>
      </x:c>
      <x:c r="B26" s="20" t="s">
        <x:v>105</x:v>
      </x:c>
      <x:c r="C26" s="20" t="s">
        <x:v>106</x:v>
      </x:c>
      <x:c r="D26" s="59">
        <x:v>46040</x:v>
      </x:c>
      <x:c r="E26" s="59">
        <x:v>46048</x:v>
      </x:c>
      <x:c r="F26" s="59">
        <x:v>46050</x:v>
      </x:c>
      <x:c r="G26" s="60" t="s">
        <x:v>78</x:v>
      </x:c>
    </x:row>
    <x:row r="27" ht="16.049999237060547" customHeight="1">
      <x:c r="A27" s="30" t="s">
        <x:v>107</x:v>
      </x:c>
      <x:c r="B27" s="20" t="s">
        <x:v>108</x:v>
      </x:c>
      <x:c r="C27" s="20" t="s">
        <x:v>109</x:v>
      </x:c>
      <x:c r="D27" s="59">
        <x:v>46117</x:v>
      </x:c>
      <x:c r="E27" s="59">
        <x:v>46121</x:v>
      </x:c>
      <x:c r="F27" s="59">
        <x:v>46123</x:v>
      </x:c>
      <x:c r="G27" s="60" t="s">
        <x:v>78</x:v>
      </x:c>
    </x:row>
    <x:row r="28" ht="16.049999237060547" customHeight="1">
      <x:c r="A28" s="30" t="s">
        <x:v>110</x:v>
      </x:c>
      <x:c r="B28" s="20" t="s">
        <x:v>111</x:v>
      </x:c>
      <x:c r="C28" s="20" t="s">
        <x:v>112</x:v>
      </x:c>
      <x:c r="D28" s="59">
        <x:v>46117</x:v>
      </x:c>
      <x:c r="E28" s="59">
        <x:v>46127</x:v>
      </x:c>
      <x:c r="F28" s="59">
        <x:v>46132</x:v>
      </x:c>
      <x:c r="G28" s="60" t="s">
        <x:v>74</x:v>
      </x:c>
    </x:row>
    <x:row r="29" ht="16.049999237060547" customHeight="1">
      <x:c r="A29" s="30" t="s">
        <x:v>113</x:v>
      </x:c>
      <x:c r="B29" s="20" t="s">
        <x:v>114</x:v>
      </x:c>
      <x:c r="C29" s="20" t="s">
        <x:v>115</x:v>
      </x:c>
      <x:c r="D29" s="59">
        <x:v>46024</x:v>
      </x:c>
      <x:c r="E29" s="59">
        <x:v>46031</x:v>
      </x:c>
      <x:c r="F29" s="59">
        <x:v>46029</x:v>
      </x:c>
      <x:c r="G29" s="60" t="s">
        <x:v>74</x:v>
      </x:c>
    </x:row>
    <x:row r="30" ht="16.049999237060547" customHeight="1">
      <x:c r="A30" s="30" t="s">
        <x:v>116</x:v>
      </x:c>
      <x:c r="B30" s="20" t="s">
        <x:v>117</x:v>
      </x:c>
      <x:c r="C30" s="20" t="s">
        <x:v>118</x:v>
      </x:c>
      <x:c r="D30" s="59">
        <x:v>46023</x:v>
      </x:c>
      <x:c r="E30" s="59">
        <x:v>46034</x:v>
      </x:c>
      <x:c r="F30" s="59">
        <x:v>46038</x:v>
      </x:c>
      <x:c r="G30" s="60" t="s">
        <x:v>70</x:v>
      </x:c>
    </x:row>
    <x:row r="31" ht="16.049999237060547" customHeight="1">
      <x:c r="A31" s="30" t="s">
        <x:v>119</x:v>
      </x:c>
      <x:c r="B31" s="20" t="s">
        <x:v>120</x:v>
      </x:c>
      <x:c r="C31" s="20">
        <x:v>46677</x:v>
      </x:c>
      <x:c r="D31" s="59">
        <x:v>46148</x:v>
      </x:c>
      <x:c r="E31" s="59">
        <x:v>46149</x:v>
      </x:c>
      <x:c r="F31" s="59">
        <x:v>46149</x:v>
      </x:c>
      <x:c r="G31" s="60" t="s">
        <x:v>70</x:v>
      </x:c>
    </x:row>
    <x:row r="32" ht="16.049999237060547" customHeight="1">
      <x:c r="A32" s="30" t="s">
        <x:v>121</x:v>
      </x:c>
      <x:c r="B32" s="20" t="s">
        <x:v>122</x:v>
      </x:c>
      <x:c r="C32" s="20" t="s">
        <x:v>123</x:v>
      </x:c>
      <x:c r="D32" s="59">
        <x:v>46202</x:v>
      </x:c>
      <x:c r="E32" s="59">
        <x:v>46208</x:v>
      </x:c>
      <x:c r="F32" s="59">
        <x:v>46213</x:v>
      </x:c>
      <x:c r="G32" s="60" t="s">
        <x:v>74</x:v>
      </x:c>
    </x:row>
    <x:row r="33" ht="16.049999237060547" customHeight="1">
      <x:c r="A33" s="30" t="s">
        <x:v>124</x:v>
      </x:c>
      <x:c r="B33" s="20" t="s">
        <x:v>125</x:v>
      </x:c>
      <x:c r="C33" s="20" t="s">
        <x:v>126</x:v>
      </x:c>
      <x:c r="D33" s="59">
        <x:v>46042</x:v>
      </x:c>
      <x:c r="E33" s="59">
        <x:v>46052</x:v>
      </x:c>
      <x:c r="F33" s="59">
        <x:v>46050</x:v>
      </x:c>
      <x:c r="G33" s="60" t="s">
        <x:v>74</x:v>
      </x:c>
    </x:row>
    <x:row r="34" ht="16.049999237060547" customHeight="1">
      <x:c r="A34" s="30" t="s">
        <x:v>127</x:v>
      </x:c>
      <x:c r="B34" s="20" t="s">
        <x:v>128</x:v>
      </x:c>
      <x:c r="C34" s="20" t="s">
        <x:v>129</x:v>
      </x:c>
      <x:c r="D34" s="59">
        <x:v>46089</x:v>
      </x:c>
      <x:c r="E34" s="59">
        <x:v>46095</x:v>
      </x:c>
      <x:c r="F34" s="59">
        <x:v>46099</x:v>
      </x:c>
      <x:c r="G34" s="60" t="s">
        <x:v>78</x:v>
      </x:c>
    </x:row>
    <x:row r="35" ht="16.049999237060547" customHeight="1">
      <x:c r="A35" s="30" t="s">
        <x:v>130</x:v>
      </x:c>
      <x:c r="B35" s="20" t="s">
        <x:v>131</x:v>
      </x:c>
      <x:c r="C35" s="20" t="s">
        <x:v>132</x:v>
      </x:c>
      <x:c r="D35" s="59">
        <x:v>46042</x:v>
      </x:c>
      <x:c r="E35" s="59">
        <x:v>46046</x:v>
      </x:c>
      <x:c r="F35" s="59">
        <x:v>46046</x:v>
      </x:c>
      <x:c r="G35" s="60" t="s">
        <x:v>70</x:v>
      </x:c>
    </x:row>
    <x:row r="36" ht="16.049999237060547" customHeight="1">
      <x:c r="A36" s="30" t="s">
        <x:v>133</x:v>
      </x:c>
      <x:c r="B36" s="20" t="s">
        <x:v>134</x:v>
      </x:c>
      <x:c r="C36" s="20" t="s">
        <x:v>135</x:v>
      </x:c>
      <x:c r="D36" s="59">
        <x:v>46138</x:v>
      </x:c>
      <x:c r="E36" s="59">
        <x:v>46146</x:v>
      </x:c>
      <x:c r="F36" s="59">
        <x:v>46149</x:v>
      </x:c>
      <x:c r="G36" s="60" t="s">
        <x:v>70</x:v>
      </x:c>
    </x:row>
    <x:row r="37" ht="16.049999237060547" customHeight="1">
      <x:c r="A37" s="30" t="s">
        <x:v>136</x:v>
      </x:c>
      <x:c r="B37" s="20" t="s">
        <x:v>137</x:v>
      </x:c>
      <x:c r="C37" s="20">
        <x:v>44735</x:v>
      </x:c>
      <x:c r="D37" s="59">
        <x:v>46138</x:v>
      </x:c>
      <x:c r="E37" s="59">
        <x:v>46143</x:v>
      </x:c>
      <x:c r="F37" s="59">
        <x:v>46148</x:v>
      </x:c>
      <x:c r="G37" s="60" t="s">
        <x:v>70</x:v>
      </x:c>
    </x:row>
    <x:row r="38" ht="16.049999237060547" customHeight="1">
      <x:c r="A38" s="30" t="s">
        <x:v>138</x:v>
      </x:c>
      <x:c r="B38" s="20" t="s">
        <x:v>139</x:v>
      </x:c>
      <x:c r="C38" s="20" t="s">
        <x:v>140</x:v>
      </x:c>
      <x:c r="D38" s="59">
        <x:v>46234</x:v>
      </x:c>
      <x:c r="E38" s="59">
        <x:v>46246</x:v>
      </x:c>
      <x:c r="F38" s="59">
        <x:v>46244</x:v>
      </x:c>
      <x:c r="G38" s="60" t="s">
        <x:v>78</x:v>
      </x:c>
    </x:row>
    <x:row r="39" ht="16.049999237060547" customHeight="1">
      <x:c r="A39" s="30" t="s">
        <x:v>141</x:v>
      </x:c>
      <x:c r="B39" s="20" t="s">
        <x:v>142</x:v>
      </x:c>
      <x:c r="C39" s="20" t="s">
        <x:v>143</x:v>
      </x:c>
      <x:c r="D39" s="59">
        <x:v>46114</x:v>
      </x:c>
      <x:c r="E39" s="59">
        <x:v>46121</x:v>
      </x:c>
      <x:c r="F39" s="59">
        <x:v>46119</x:v>
      </x:c>
      <x:c r="G39" s="60" t="s">
        <x:v>78</x:v>
      </x:c>
    </x:row>
    <x:row r="40" ht="16.049999237060547" customHeight="1">
      <x:c r="A40" s="30" t="s">
        <x:v>144</x:v>
      </x:c>
      <x:c r="B40" s="20" t="s">
        <x:v>145</x:v>
      </x:c>
      <x:c r="C40" s="20" t="s">
        <x:v>146</x:v>
      </x:c>
      <x:c r="D40" s="59">
        <x:v>46126</x:v>
      </x:c>
      <x:c r="E40" s="59">
        <x:v>46134</x:v>
      </x:c>
      <x:c r="F40" s="59">
        <x:v>46135</x:v>
      </x:c>
      <x:c r="G40" s="60" t="s">
        <x:v>78</x:v>
      </x:c>
    </x:row>
    <x:row r="41" ht="16.049999237060547" customHeight="1">
      <x:c r="A41" s="30" t="s">
        <x:v>147</x:v>
      </x:c>
      <x:c r="B41" s="20" t="s">
        <x:v>148</x:v>
      </x:c>
      <x:c r="C41" s="20" t="s">
        <x:v>149</x:v>
      </x:c>
      <x:c r="D41" s="59">
        <x:v>46026</x:v>
      </x:c>
      <x:c r="E41" s="59">
        <x:v>46027</x:v>
      </x:c>
      <x:c r="F41" s="59">
        <x:v>46028</x:v>
      </x:c>
      <x:c r="G41" s="60" t="s">
        <x:v>70</x:v>
      </x:c>
    </x:row>
    <x:row r="42" ht="16.049999237060547" customHeight="1">
      <x:c r="A42" s="30" t="s">
        <x:v>150</x:v>
      </x:c>
      <x:c r="B42" s="20" t="s">
        <x:v>151</x:v>
      </x:c>
      <x:c r="C42" s="20" t="s">
        <x:v>152</x:v>
      </x:c>
      <x:c r="D42" s="59">
        <x:v>46172</x:v>
      </x:c>
      <x:c r="E42" s="59">
        <x:v>46182</x:v>
      </x:c>
      <x:c r="F42" s="59">
        <x:v>46184</x:v>
      </x:c>
      <x:c r="G42" s="60" t="s">
        <x:v>70</x:v>
      </x:c>
    </x:row>
    <x:row r="43" ht="16.049999237060547" customHeight="1">
      <x:c r="A43" s="30" t="s">
        <x:v>153</x:v>
      </x:c>
      <x:c r="B43" s="20" t="s">
        <x:v>154</x:v>
      </x:c>
      <x:c r="C43" s="20">
        <x:v>53456</x:v>
      </x:c>
      <x:c r="D43" s="59">
        <x:v>46230</x:v>
      </x:c>
      <x:c r="E43" s="59">
        <x:v>46233</x:v>
      </x:c>
      <x:c r="F43" s="59">
        <x:v>46232</x:v>
      </x:c>
      <x:c r="G43" s="60" t="s">
        <x:v>70</x:v>
      </x:c>
    </x:row>
    <x:row r="44" ht="16.049999237060547" customHeight="1">
      <x:c r="A44" s="30" t="s">
        <x:v>155</x:v>
      </x:c>
      <x:c r="B44" s="20" t="s">
        <x:v>156</x:v>
      </x:c>
      <x:c r="C44" s="20" t="s">
        <x:v>157</x:v>
      </x:c>
      <x:c r="D44" s="59">
        <x:v>46066</x:v>
      </x:c>
      <x:c r="E44" s="59">
        <x:v>46076</x:v>
      </x:c>
      <x:c r="F44" s="59">
        <x:v>46080</x:v>
      </x:c>
      <x:c r="G44" s="60" t="s">
        <x:v>78</x:v>
      </x:c>
    </x:row>
    <x:row r="45" ht="16.049999237060547" customHeight="1">
      <x:c r="A45" s="30" t="s">
        <x:v>158</x:v>
      </x:c>
      <x:c r="B45" s="20" t="s">
        <x:v>159</x:v>
      </x:c>
      <x:c r="C45" s="20" t="s">
        <x:v>160</x:v>
      </x:c>
      <x:c r="D45" s="59">
        <x:v>46067</x:v>
      </x:c>
      <x:c r="E45" s="59">
        <x:v>46073</x:v>
      </x:c>
      <x:c r="F45" s="59">
        <x:v>46074</x:v>
      </x:c>
      <x:c r="G45" s="60" t="s">
        <x:v>78</x:v>
      </x:c>
    </x:row>
    <x:row r="46" ht="16.049999237060547" customHeight="1">
      <x:c r="A46" s="30" t="s">
        <x:v>161</x:v>
      </x:c>
      <x:c r="B46" s="20" t="s">
        <x:v>162</x:v>
      </x:c>
      <x:c r="C46" s="20" t="s">
        <x:v>163</x:v>
      </x:c>
      <x:c r="D46" s="59">
        <x:v>46031</x:v>
      </x:c>
      <x:c r="E46" s="59">
        <x:v>46041</x:v>
      </x:c>
      <x:c r="F46" s="59">
        <x:v>46042</x:v>
      </x:c>
      <x:c r="G46" s="60" t="s">
        <x:v>78</x:v>
      </x:c>
    </x:row>
    <x:row r="47" ht="16.049999237060547" customHeight="1">
      <x:c r="A47" s="30" t="s">
        <x:v>164</x:v>
      </x:c>
      <x:c r="B47" s="20" t="s">
        <x:v>165</x:v>
      </x:c>
      <x:c r="C47" s="20" t="s">
        <x:v>166</x:v>
      </x:c>
      <x:c r="D47" s="59">
        <x:v>46038</x:v>
      </x:c>
      <x:c r="E47" s="59">
        <x:v>46040</x:v>
      </x:c>
      <x:c r="F47" s="59">
        <x:v>46042</x:v>
      </x:c>
      <x:c r="G47" s="60" t="s">
        <x:v>70</x:v>
      </x:c>
    </x:row>
    <x:row r="48" ht="16.049999237060547" customHeight="1">
      <x:c r="A48" s="30" t="s">
        <x:v>167</x:v>
      </x:c>
      <x:c r="B48" s="20" t="s">
        <x:v>168</x:v>
      </x:c>
      <x:c r="C48" s="20" t="s">
        <x:v>169</x:v>
      </x:c>
      <x:c r="D48" s="59">
        <x:v>46184</x:v>
      </x:c>
      <x:c r="E48" s="59">
        <x:v>46193</x:v>
      </x:c>
      <x:c r="F48" s="59">
        <x:v>46191</x:v>
      </x:c>
      <x:c r="G48" s="60" t="s">
        <x:v>74</x:v>
      </x:c>
    </x:row>
    <x:row r="49" ht="16.049999237060547" customHeight="1">
      <x:c r="A49" s="30" t="s">
        <x:v>170</x:v>
      </x:c>
      <x:c r="B49" s="20" t="s">
        <x:v>171</x:v>
      </x:c>
      <x:c r="C49" s="20">
        <x:v>60905</x:v>
      </x:c>
      <x:c r="D49" s="59">
        <x:v>46111</x:v>
      </x:c>
      <x:c r="E49" s="59">
        <x:v>46121</x:v>
      </x:c>
      <x:c r="F49" s="59">
        <x:v>46124</x:v>
      </x:c>
      <x:c r="G49" s="60" t="s">
        <x:v>78</x:v>
      </x:c>
    </x:row>
    <x:row r="50" ht="16.049999237060547" customHeight="1">
      <x:c r="A50" s="30" t="s">
        <x:v>172</x:v>
      </x:c>
      <x:c r="B50" s="20" t="s">
        <x:v>173</x:v>
      </x:c>
      <x:c r="C50" s="20" t="s">
        <x:v>174</x:v>
      </x:c>
      <x:c r="D50" s="59">
        <x:v>46175</x:v>
      </x:c>
      <x:c r="E50" s="59">
        <x:v>46179</x:v>
      </x:c>
      <x:c r="F50" s="59">
        <x:v>46177</x:v>
      </x:c>
      <x:c r="G50" s="60" t="s">
        <x:v>70</x:v>
      </x:c>
    </x:row>
    <x:row r="51" ht="16.049999237060547" customHeight="1">
      <x:c r="A51" s="30" t="s">
        <x:v>175</x:v>
      </x:c>
      <x:c r="B51" s="20" t="s">
        <x:v>176</x:v>
      </x:c>
      <x:c r="C51" s="20" t="s">
        <x:v>177</x:v>
      </x:c>
      <x:c r="D51" s="59">
        <x:v>46063</x:v>
      </x:c>
      <x:c r="E51" s="59">
        <x:v>46065</x:v>
      </x:c>
      <x:c r="F51" s="59">
        <x:v>46066</x:v>
      </x:c>
      <x:c r="G51" s="60" t="s">
        <x:v>70</x:v>
      </x:c>
    </x:row>
    <x:row r="52" ht="16.049999237060547" customHeight="1">
      <x:c r="A52" s="30" t="s">
        <x:v>178</x:v>
      </x:c>
      <x:c r="B52" s="20" t="s">
        <x:v>179</x:v>
      </x:c>
      <x:c r="C52" s="20" t="s">
        <x:v>180</x:v>
      </x:c>
      <x:c r="D52" s="59">
        <x:v>46170</x:v>
      </x:c>
      <x:c r="E52" s="59">
        <x:v>46177</x:v>
      </x:c>
      <x:c r="F52" s="59">
        <x:v>46180</x:v>
      </x:c>
      <x:c r="G52" s="60" t="s">
        <x:v>70</x:v>
      </x:c>
    </x:row>
    <x:row r="53" ht="16.049999237060547" customHeight="1">
      <x:c r="A53" s="30" t="s">
        <x:v>181</x:v>
      </x:c>
      <x:c r="B53" s="20" t="s">
        <x:v>182</x:v>
      </x:c>
      <x:c r="C53" s="20" t="s">
        <x:v>183</x:v>
      </x:c>
      <x:c r="D53" s="59">
        <x:v>46174</x:v>
      </x:c>
      <x:c r="E53" s="59">
        <x:v>46175</x:v>
      </x:c>
      <x:c r="F53" s="59">
        <x:v>46178</x:v>
      </x:c>
      <x:c r="G53" s="60" t="s">
        <x:v>74</x:v>
      </x:c>
    </x:row>
    <x:row r="54" ht="16.049999237060547" customHeight="1">
      <x:c r="A54" s="30" t="s">
        <x:v>184</x:v>
      </x:c>
      <x:c r="B54" s="20" t="s">
        <x:v>185</x:v>
      </x:c>
      <x:c r="C54" s="20" t="s">
        <x:v>186</x:v>
      </x:c>
      <x:c r="D54" s="59">
        <x:v>46161</x:v>
      </x:c>
      <x:c r="E54" s="59">
        <x:v>46166</x:v>
      </x:c>
      <x:c r="F54" s="59">
        <x:v>46166</x:v>
      </x:c>
      <x:c r="G54" s="60" t="s">
        <x:v>70</x:v>
      </x:c>
    </x:row>
    <x:row r="55" ht="16.049999237060547" customHeight="1">
      <x:c r="A55" s="30" t="s">
        <x:v>187</x:v>
      </x:c>
      <x:c r="B55" s="20" t="s">
        <x:v>188</x:v>
      </x:c>
      <x:c r="C55" s="20">
        <x:v>79002</x:v>
      </x:c>
      <x:c r="D55" s="59">
        <x:v>46177</x:v>
      </x:c>
      <x:c r="E55" s="59">
        <x:v>46181</x:v>
      </x:c>
      <x:c r="F55" s="59">
        <x:v>46179</x:v>
      </x:c>
      <x:c r="G55" s="60" t="s">
        <x:v>78</x:v>
      </x:c>
    </x:row>
    <x:row r="56" ht="16.049999237060547" customHeight="1">
      <x:c r="A56" s="30" t="s">
        <x:v>189</x:v>
      </x:c>
      <x:c r="B56" s="20" t="s">
        <x:v>190</x:v>
      </x:c>
      <x:c r="C56" s="20" t="s">
        <x:v>191</x:v>
      </x:c>
      <x:c r="D56" s="59">
        <x:v>46229</x:v>
      </x:c>
      <x:c r="E56" s="59">
        <x:v>46232</x:v>
      </x:c>
      <x:c r="F56" s="59">
        <x:v>46235</x:v>
      </x:c>
      <x:c r="G56" s="60" t="s">
        <x:v>78</x:v>
      </x:c>
    </x:row>
    <x:row r="57" ht="16.049999237060547" customHeight="1">
      <x:c r="A57" s="30" t="s">
        <x:v>192</x:v>
      </x:c>
      <x:c r="B57" s="20" t="s">
        <x:v>193</x:v>
      </x:c>
      <x:c r="C57" s="20" t="s">
        <x:v>194</x:v>
      </x:c>
      <x:c r="D57" s="59">
        <x:v>46173</x:v>
      </x:c>
      <x:c r="E57" s="59">
        <x:v>46185</x:v>
      </x:c>
      <x:c r="F57" s="59">
        <x:v>46185</x:v>
      </x:c>
      <x:c r="G57" s="60" t="s">
        <x:v>74</x:v>
      </x:c>
    </x:row>
    <x:row r="58" ht="16.049999237060547" customHeight="1">
      <x:c r="A58" s="30" t="s">
        <x:v>195</x:v>
      </x:c>
      <x:c r="B58" s="20" t="s">
        <x:v>196</x:v>
      </x:c>
      <x:c r="C58" s="20" t="s">
        <x:v>197</x:v>
      </x:c>
      <x:c r="D58" s="59">
        <x:v>46203</x:v>
      </x:c>
      <x:c r="E58" s="59">
        <x:v>46214</x:v>
      </x:c>
      <x:c r="F58" s="59">
        <x:v>46218</x:v>
      </x:c>
      <x:c r="G58" s="60" t="s">
        <x:v>70</x:v>
      </x:c>
    </x:row>
    <x:row r="59" ht="16.049999237060547" customHeight="1">
      <x:c r="A59" s="30" t="s">
        <x:v>198</x:v>
      </x:c>
      <x:c r="B59" s="20" t="s">
        <x:v>199</x:v>
      </x:c>
      <x:c r="C59" s="20" t="s">
        <x:v>200</x:v>
      </x:c>
      <x:c r="D59" s="59">
        <x:v>46057</x:v>
      </x:c>
      <x:c r="E59" s="59">
        <x:v>46060</x:v>
      </x:c>
      <x:c r="F59" s="59">
        <x:v>46064</x:v>
      </x:c>
      <x:c r="G59" s="60" t="s">
        <x:v>78</x:v>
      </x:c>
    </x:row>
    <x:row r="60" ht="16.049999237060547" customHeight="1">
      <x:c r="A60" s="30" t="s">
        <x:v>201</x:v>
      </x:c>
      <x:c r="B60" s="20" t="s">
        <x:v>202</x:v>
      </x:c>
      <x:c r="C60" s="20" t="s">
        <x:v>203</x:v>
      </x:c>
      <x:c r="D60" s="59">
        <x:v>46080</x:v>
      </x:c>
      <x:c r="E60" s="59">
        <x:v>46091</x:v>
      </x:c>
      <x:c r="F60" s="59">
        <x:v>46091</x:v>
      </x:c>
      <x:c r="G60" s="60" t="s">
        <x:v>78</x:v>
      </x:c>
    </x:row>
    <x:row r="61" ht="16.049999237060547" customHeight="1">
      <x:c r="A61" s="30" t="s">
        <x:v>204</x:v>
      </x:c>
      <x:c r="B61" s="20" t="s">
        <x:v>205</x:v>
      </x:c>
      <x:c r="C61" s="20">
        <x:v>84381</x:v>
      </x:c>
      <x:c r="D61" s="59">
        <x:v>46209</x:v>
      </x:c>
      <x:c r="E61" s="59">
        <x:v>46210</x:v>
      </x:c>
      <x:c r="F61" s="59">
        <x:v>46214</x:v>
      </x:c>
      <x:c r="G61" s="60" t="s">
        <x:v>70</x:v>
      </x:c>
    </x:row>
    <x:row r="62" ht="16.049999237060547" customHeight="1">
      <x:c r="A62" s="30" t="s">
        <x:v>206</x:v>
      </x:c>
      <x:c r="B62" s="20" t="s">
        <x:v>207</x:v>
      </x:c>
      <x:c r="C62" s="20" t="s">
        <x:v>208</x:v>
      </x:c>
      <x:c r="D62" s="59">
        <x:v>46186</x:v>
      </x:c>
      <x:c r="E62" s="59">
        <x:v>46196</x:v>
      </x:c>
      <x:c r="F62" s="59">
        <x:v>46195</x:v>
      </x:c>
      <x:c r="G62" s="60" t="s">
        <x:v>70</x:v>
      </x:c>
    </x:row>
    <x:row r="63" ht="16.049999237060547" customHeight="1">
      <x:c r="A63" s="30" t="s">
        <x:v>209</x:v>
      </x:c>
      <x:c r="B63" s="20" t="s">
        <x:v>210</x:v>
      </x:c>
      <x:c r="C63" s="20" t="s">
        <x:v>211</x:v>
      </x:c>
      <x:c r="D63" s="59">
        <x:v>46111</x:v>
      </x:c>
      <x:c r="E63" s="59">
        <x:v>46117</x:v>
      </x:c>
      <x:c r="F63" s="59">
        <x:v>46117</x:v>
      </x:c>
      <x:c r="G63" s="60" t="s">
        <x:v>70</x:v>
      </x:c>
    </x:row>
    <x:row r="64" ht="16.049999237060547" customHeight="1">
      <x:c r="A64" s="30" t="s">
        <x:v>212</x:v>
      </x:c>
      <x:c r="B64" s="20" t="s">
        <x:v>213</x:v>
      </x:c>
      <x:c r="C64" s="20" t="s">
        <x:v>214</x:v>
      </x:c>
      <x:c r="D64" s="59">
        <x:v>46090</x:v>
      </x:c>
      <x:c r="E64" s="59">
        <x:v>46094</x:v>
      </x:c>
      <x:c r="F64" s="59">
        <x:v>46095</x:v>
      </x:c>
      <x:c r="G64" s="60" t="s">
        <x:v>78</x:v>
      </x:c>
    </x:row>
    <x:row r="65" ht="16.049999237060547" customHeight="1">
      <x:c r="A65" s="30" t="s">
        <x:v>215</x:v>
      </x:c>
      <x:c r="B65" s="20" t="s">
        <x:v>216</x:v>
      </x:c>
      <x:c r="C65" s="20" t="s">
        <x:v>217</x:v>
      </x:c>
      <x:c r="D65" s="59">
        <x:v>46035</x:v>
      </x:c>
      <x:c r="E65" s="59">
        <x:v>46042</x:v>
      </x:c>
      <x:c r="F65" s="59">
        <x:v>46047</x:v>
      </x:c>
      <x:c r="G65" s="60" t="s">
        <x:v>70</x:v>
      </x:c>
    </x:row>
    <x:row r="66" ht="16.049999237060547" customHeight="1">
      <x:c r="A66" s="31" t="s">
        <x:v>218</x:v>
      </x:c>
      <x:c r="B66" s="23" t="s">
        <x:v>219</x:v>
      </x:c>
      <x:c r="C66" s="23" t="s">
        <x:v>220</x:v>
      </x:c>
      <x:c r="D66" s="61">
        <x:v>46112</x:v>
      </x:c>
      <x:c r="E66" s="61">
        <x:v>46121</x:v>
      </x:c>
      <x:c r="F66" s="61">
        <x:v>46125</x:v>
      </x:c>
      <x:c r="G66" s="62" t="s">
        <x:v>78</x:v>
      </x:c>
    </x:row>
    <x:row r="67" ht="16.049999237060547" customHeight="1">
      <x:c r="A67" s="34" t="s">
        <x:v>221</x:v>
      </x:c>
      <x:c r="B67" s="35" t="s">
        <x:v>222</x:v>
      </x:c>
      <x:c r="C67" s="35">
        <x:v>48654</x:v>
      </x:c>
      <x:c r="D67" s="63">
        <x:v>46138</x:v>
      </x:c>
      <x:c r="E67" s="63">
        <x:v>46140</x:v>
      </x:c>
      <x:c r="F67" s="63">
        <x:v>46138</x:v>
      </x:c>
      <x:c r="G67" s="33" t="s">
        <x:v>70</x:v>
      </x:c>
    </x:row>
    <x:row r="68" ht="16.049999237060547" customHeight="1">
      <x:c r="A68" s="34" t="s">
        <x:v>223</x:v>
      </x:c>
      <x:c r="B68" s="35" t="s">
        <x:v>224</x:v>
      </x:c>
      <x:c r="C68" s="35" t="s">
        <x:v>225</x:v>
      </x:c>
      <x:c r="D68" s="63">
        <x:v>46041</x:v>
      </x:c>
      <x:c r="E68" s="63">
        <x:v>46047</x:v>
      </x:c>
      <x:c r="F68" s="63">
        <x:v>46047</x:v>
      </x:c>
      <x:c r="G68" s="33" t="s">
        <x:v>70</x:v>
      </x:c>
    </x:row>
    <x:row r="69" ht="16.049999237060547" customHeight="1">
      <x:c r="A69" s="34" t="s">
        <x:v>226</x:v>
      </x:c>
      <x:c r="B69" s="35" t="s">
        <x:v>227</x:v>
      </x:c>
      <x:c r="C69" s="35" t="s">
        <x:v>228</x:v>
      </x:c>
      <x:c r="D69" s="63">
        <x:v>46175</x:v>
      </x:c>
      <x:c r="E69" s="63">
        <x:v>46185</x:v>
      </x:c>
      <x:c r="F69" s="63">
        <x:v>46190</x:v>
      </x:c>
      <x:c r="G69" s="33" t="s">
        <x:v>78</x:v>
      </x:c>
    </x:row>
    <x:row r="70" ht="16.049999237060547" customHeight="1">
      <x:c r="A70" s="34" t="s">
        <x:v>229</x:v>
      </x:c>
      <x:c r="B70" s="35" t="s">
        <x:v>230</x:v>
      </x:c>
      <x:c r="C70" s="35" t="s">
        <x:v>231</x:v>
      </x:c>
      <x:c r="D70" s="63">
        <x:v>46036</x:v>
      </x:c>
      <x:c r="E70" s="63">
        <x:v>46038</x:v>
      </x:c>
      <x:c r="F70" s="63">
        <x:v>46041</x:v>
      </x:c>
      <x:c r="G70" s="33" t="s">
        <x:v>70</x:v>
      </x:c>
    </x:row>
    <x:row r="71" ht="16.049999237060547" customHeight="1">
      <x:c r="A71" s="34" t="s">
        <x:v>232</x:v>
      </x:c>
      <x:c r="B71" s="35" t="s">
        <x:v>233</x:v>
      </x:c>
      <x:c r="C71" s="35" t="s">
        <x:v>234</x:v>
      </x:c>
      <x:c r="D71" s="63">
        <x:v>46099</x:v>
      </x:c>
      <x:c r="E71" s="63">
        <x:v>46103</x:v>
      </x:c>
      <x:c r="F71" s="63">
        <x:v>46102</x:v>
      </x:c>
      <x:c r="G71" s="33" t="s">
        <x:v>78</x:v>
      </x:c>
    </x:row>
    <x:row r="72" ht="16.049999237060547" customHeight="1">
      <x:c r="A72" s="34" t="s">
        <x:v>235</x:v>
      </x:c>
      <x:c r="B72" s="35" t="s">
        <x:v>236</x:v>
      </x:c>
      <x:c r="C72" s="35" t="s">
        <x:v>237</x:v>
      </x:c>
      <x:c r="D72" s="63">
        <x:v>46036</x:v>
      </x:c>
      <x:c r="E72" s="63">
        <x:v>46042</x:v>
      </x:c>
      <x:c r="F72" s="63">
        <x:v>46040</x:v>
      </x:c>
      <x:c r="G72" s="33" t="s">
        <x:v>70</x:v>
      </x:c>
    </x:row>
    <x:row r="73" ht="16.049999237060547" customHeight="1">
      <x:c r="A73" s="36" t="s">
        <x:v>238</x:v>
      </x:c>
      <x:c r="B73" s="37" t="s">
        <x:v>239</x:v>
      </x:c>
      <x:c r="C73" s="37">
        <x:v>32391</x:v>
      </x:c>
      <x:c r="D73" s="64">
        <x:v>46047</x:v>
      </x:c>
      <x:c r="E73" s="64">
        <x:v>46048</x:v>
      </x:c>
      <x:c r="F73" s="64">
        <x:v>46049</x:v>
      </x:c>
      <x:c r="G73" s="38" t="s">
        <x:v>74</x:v>
      </x:c>
    </x:row>
    <x:row r="74">
      <x:c r="A74" s="4"/>
      <x:c r="B74" s="4"/>
      <x:c r="C74" s="4"/>
      <x:c r="D74" s="4"/>
      <x:c r="E74" s="4"/>
      <x:c r="F74" s="4"/>
      <x:c r="G74" s="4"/>
    </x:row>
    <x:row r="75">
      <x:c r="A75" s="4"/>
      <x:c r="B75" s="4"/>
      <x:c r="C75" s="4"/>
      <x:c r="D75" s="4"/>
      <x:c r="E75" s="4"/>
      <x:c r="F75" s="4"/>
      <x:c r="G75" s="4"/>
    </x:row>
    <x:row r="76">
      <x:c r="A76" s="4"/>
      <x:c r="B76" s="4"/>
      <x:c r="C76" s="4"/>
      <x:c r="D76" s="4"/>
      <x:c r="E76" s="4"/>
      <x:c r="F76" s="4"/>
      <x:c r="G76" s="4"/>
    </x:row>
    <x:row r="77">
      <x:c r="A77" s="4"/>
      <x:c r="B77" s="4"/>
      <x:c r="C77" s="4"/>
      <x:c r="D77" s="4"/>
      <x:c r="E77" s="4"/>
      <x:c r="F77" s="4"/>
      <x:c r="G77" s="4"/>
    </x:row>
    <x:row r="78">
      <x:c r="A78" s="4"/>
      <x:c r="B78" s="4"/>
      <x:c r="C78" s="4"/>
      <x:c r="D78" s="4"/>
      <x:c r="E78" s="4"/>
      <x:c r="F78" s="4"/>
      <x:c r="G78" s="4"/>
    </x:row>
  </x:sheetData>
  <x:mergeCells>
    <x:mergeCell ref="A11:G11"/>
    <x:mergeCell ref="A1:G2"/>
    <x:mergeCell ref="A3:G3"/>
    <x:mergeCell ref="A5:G6"/>
    <x:mergeCell ref="A7:G8"/>
    <x:mergeCell ref="A10:G10"/>
  </x:mergeCells>
  <x:conditionalFormatting sqref="C14:C73">
    <x:cfRule type="expression" dxfId="3" priority="1">
      <x:formula>ISNUMBER(C14)</x:formula>
    </x:cfRule>
  </x:conditionalFormatting>
  <x:dataValidations count="7">
    <x:dataValidation allowBlank="1" showInputMessage="1" promptTitle="Order ID | رقم الطلب" prompt="Unique service-order identifier._x000a_رقم مميز لطلب الخدمة." sqref="A13"/>
    <x:dataValidation allowBlank="1" showInputMessage="1" promptTitle="Composite Key | المفتاح المركب" prompt="Region|Service|CustomerID|OrderType packed into one text field._x000a_أربعة حقول مجمعة داخل نص واحد." sqref="B13"/>
    <x:dataValidation allowBlank="1" showInputMessage="1" promptTitle="Account Reference | مرجع الحساب" prompt="Account identifier. Some rows are intentionally stored as numbers._x000a_معرّف الحساب، وبعض الصفوف مخزنة كأرقام بشكل مقصود." sqref="C13"/>
    <x:dataValidation allowBlank="1" showInputMessage="1" promptTitle="Start Date | تاريخ البداية" prompt="Order start date._x000a_تاريخ بدء الطلب." sqref="D13"/>
    <x:dataValidation allowBlank="1" showInputMessage="1" promptTitle="Due Date | تاريخ الاستحقاق" prompt="Committed due date._x000a_تاريخ الاستحقاق المتفق عليه." sqref="E13"/>
    <x:dataValidation allowBlank="1" showInputMessage="1" promptTitle="Close Date | تاريخ الإغلاق" prompt="Actual close date._x000a_تاريخ الإغلاق الفعلي." sqref="F13"/>
    <x:dataValidation allowBlank="1" showInputMessage="1" promptTitle="Priority | الأولوية" prompt="Operational priority code._x000a_رمز أولوية الطلب." sqref="G13"/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3.800000190734863"/>
  <x:cols>
    <x:col min="1" max="1" width="34" customWidth="1"/>
    <x:col min="2" max="2" width="14" customWidth="1"/>
    <x:col min="3" max="3" width="22" customWidth="1"/>
    <x:col min="4" max="4" width="18" customWidth="1"/>
    <x:col min="5" max="5" width="16" customWidth="1"/>
    <x:col min="6" max="6" width="14" customWidth="1"/>
    <x:col min="7" max="7" width="4" customWidth="1"/>
    <x:col min="8" max="12" width="18" customWidth="1"/>
  </x:cols>
  <x:sheetData>
    <x:row r="1">
      <x:c r="A1" s="169" t="s">
        <x:v>240</x:v>
      </x:c>
      <x:c r="B1" s="169"/>
      <x:c r="C1" s="169"/>
      <x:c r="D1" s="169"/>
      <x:c r="E1" s="169"/>
      <x:c r="F1" s="169"/>
      <x:c r="G1" s="169"/>
      <x:c r="H1" s="169"/>
      <x:c r="I1" s="169"/>
      <x:c r="J1" s="169"/>
      <x:c r="K1" s="169"/>
      <x:c r="L1" s="169"/>
    </x:row>
    <x:row r="2">
      <x:c r="A2" s="169"/>
      <x:c r="B2" s="169"/>
      <x:c r="C2" s="169"/>
      <x:c r="D2" s="169"/>
      <x:c r="E2" s="169"/>
      <x:c r="F2" s="169"/>
      <x:c r="G2" s="169"/>
      <x:c r="H2" s="169"/>
      <x:c r="I2" s="169"/>
      <x:c r="J2" s="169"/>
      <x:c r="K2" s="169"/>
      <x:c r="L2" s="169"/>
    </x:row>
    <x:row r="3">
      <x:c r="A3" s="294" t="s">
        <x:v>241</x:v>
      </x:c>
      <x:c r="B3" s="111"/>
      <x:c r="C3" s="111"/>
      <x:c r="D3" s="111"/>
      <x:c r="E3" s="111"/>
      <x:c r="F3" s="111"/>
      <x:c r="G3" s="111"/>
      <x:c r="H3" s="111"/>
      <x:c r="I3" s="111"/>
      <x:c r="J3" s="111"/>
      <x:c r="K3" s="111"/>
      <x:c r="L3" s="111"/>
    </x:row>
    <x:row r="4" ht="4.800000190734863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</x:row>
    <x:row r="5">
      <x:c r="A5" s="153" t="s">
        <x:v>242</x:v>
      </x:c>
      <x:c r="B5" s="154"/>
      <x:c r="C5" s="154"/>
      <x:c r="D5" s="154"/>
      <x:c r="E5" s="154"/>
      <x:c r="F5" s="154"/>
      <x:c r="G5" s="154"/>
      <x:c r="H5" s="154"/>
      <x:c r="I5" s="154"/>
      <x:c r="J5" s="154"/>
      <x:c r="K5" s="154"/>
      <x:c r="L5" s="154"/>
    </x:row>
    <x:row r="6">
      <x:c r="A6" s="153"/>
      <x:c r="B6" s="154"/>
      <x:c r="C6" s="154"/>
      <x:c r="D6" s="154"/>
      <x:c r="E6" s="154"/>
      <x:c r="F6" s="154"/>
      <x:c r="G6" s="154"/>
      <x:c r="H6" s="154"/>
      <x:c r="I6" s="154"/>
      <x:c r="J6" s="154"/>
      <x:c r="K6" s="154"/>
      <x:c r="L6" s="154"/>
    </x:row>
    <x:row r="7" ht="19.200000762939453" customHeight="1">
      <x:c r="A7" s="298" t="s">
        <x:v>243</x:v>
      </x:c>
      <x:c r="B7" s="176"/>
      <x:c r="C7" s="176"/>
      <x:c r="D7" s="176"/>
      <x:c r="E7" s="176"/>
      <x:c r="F7" s="176"/>
      <x:c r="G7" s="176"/>
      <x:c r="H7" s="176"/>
      <x:c r="I7" s="176"/>
      <x:c r="J7" s="176"/>
      <x:c r="K7" s="176"/>
      <x:c r="L7" s="177"/>
    </x:row>
    <x:row r="8" ht="19.200000762939453" customHeight="1">
      <x:c r="A8" s="176"/>
      <x:c r="B8" s="176"/>
      <x:c r="C8" s="176"/>
      <x:c r="D8" s="176"/>
      <x:c r="E8" s="176"/>
      <x:c r="F8" s="176"/>
      <x:c r="G8" s="176"/>
      <x:c r="H8" s="176"/>
      <x:c r="I8" s="176"/>
      <x:c r="J8" s="176"/>
      <x:c r="K8" s="176"/>
      <x:c r="L8" s="177"/>
    </x:row>
    <x:row r="9">
      <x:c r="A9" s="9"/>
      <x:c r="B9" s="10"/>
      <x:c r="C9" s="10"/>
      <x:c r="D9" s="10"/>
      <x:c r="E9" s="10"/>
      <x:c r="F9" s="11"/>
      <x:c r="G9" s="4"/>
      <x:c r="H9" s="9"/>
      <x:c r="I9" s="10"/>
      <x:c r="J9" s="11"/>
      <x:c r="K9" s="4"/>
      <x:c r="L9" s="4"/>
    </x:row>
    <x:row r="10" ht="21.600000381469727" customHeight="1">
      <x:c r="A10" s="16" t="s">
        <x:v>61</x:v>
      </x:c>
      <x:c r="B10" s="17" t="s">
        <x:v>244</x:v>
      </x:c>
      <x:c r="C10" s="17" t="s">
        <x:v>245</x:v>
      </x:c>
      <x:c r="D10" s="17" t="s">
        <x:v>246</x:v>
      </x:c>
      <x:c r="E10" s="17" t="s">
        <x:v>247</x:v>
      </x:c>
      <x:c r="F10" s="19" t="s">
        <x:v>248</x:v>
      </x:c>
      <x:c r="G10" s="4"/>
      <x:c r="H10" s="178" t="s">
        <x:v>249</x:v>
      </x:c>
      <x:c r="I10" s="179" cm="1"/>
      <x:c r="J10" s="180"/>
      <x:c r="K10" s="114"/>
      <x:c r="L10" s="114"/>
    </x:row>
    <x:row r="11" ht="21.600000381469727" customHeight="1">
      <x:c r="A11" s="26" t="s">
        <x:v>250</x:v>
      </x:c>
      <x:c r="B11" s="68" t="s">
        <x:v>251</x:v>
      </x:c>
      <x:c r="C11" s="68" t="s">
        <x:v>251</x:v>
      </x:c>
      <x:c r="D11" s="68" t="s">
        <x:v>251</x:v>
      </x:c>
      <x:c r="E11" s="68" t="s">
        <x:v>251</x:v>
      </x:c>
      <x:c r="F11" s="58" t="s">
        <x:v>252</x:v>
      </x:c>
      <x:c r="G11" s="4"/>
      <x:c r="H11" s="181" t="str">
        <x:f>"=TEXTBEFORE(""Amman|Fiber|C30091|ACT"",""|"")  →  Amman"</x:f>
        <x:v>=TEXTBEFORE("Amman|Fiber|C30091|ACT","|")  →  Amman</x:v>
      </x:c>
      <x:c r="I11" s="181"/>
      <x:c r="J11" s="181"/>
      <x:c r="K11" s="181"/>
      <x:c r="L11" s="181"/>
    </x:row>
    <x:row r="12" ht="21.600000381469727" customHeight="1">
      <x:c r="A12" s="30" t="s">
        <x:v>253</x:v>
      </x:c>
      <x:c r="B12" s="69" t="s">
        <x:v>251</x:v>
      </x:c>
      <x:c r="C12" s="69" t="s">
        <x:v>251</x:v>
      </x:c>
      <x:c r="D12" s="69" t="s">
        <x:v>251</x:v>
      </x:c>
      <x:c r="E12" s="69" t="s">
        <x:v>251</x:v>
      </x:c>
      <x:c r="F12" s="60" t="s">
        <x:v>254</x:v>
      </x:c>
      <x:c r="G12" s="4"/>
      <x:c r="H12" s="181"/>
      <x:c r="I12" s="181"/>
      <x:c r="J12" s="181"/>
      <x:c r="K12" s="181"/>
      <x:c r="L12" s="181"/>
    </x:row>
    <x:row r="13" ht="21.600000381469727" customHeight="1">
      <x:c r="A13" s="65" t="s">
        <x:v>255</x:v>
      </x:c>
      <x:c r="B13" s="70" t="s">
        <x:v>251</x:v>
      </x:c>
      <x:c r="C13" s="70" t="s">
        <x:v>251</x:v>
      </x:c>
      <x:c r="D13" s="70" t="s">
        <x:v>251</x:v>
      </x:c>
      <x:c r="E13" s="70" t="s">
        <x:v>251</x:v>
      </x:c>
      <x:c r="F13" s="67" t="s">
        <x:v>256</x:v>
      </x:c>
      <x:c r="G13" s="4"/>
      <x:c r="H13" s="4"/>
      <x:c r="I13" s="4"/>
      <x:c r="J13" s="4"/>
      <x:c r="K13" s="4"/>
      <x:c r="L13" s="4"/>
    </x:row>
    <x:row r="14">
      <x:c r="A14" s="53"/>
      <x:c r="B14" s="3"/>
      <x:c r="C14" s="3"/>
      <x:c r="D14" s="3"/>
      <x:c r="E14" s="3"/>
      <x:c r="F14" s="55"/>
      <x:c r="G14" s="4"/>
      <x:c r="H14" s="4"/>
      <x:c r="I14" s="4"/>
      <x:c r="J14" s="4"/>
      <x:c r="K14" s="4"/>
      <x:c r="L14" s="4"/>
    </x:row>
    <x:row r="15">
      <x:c r="A15" s="53"/>
      <x:c r="B15" s="3"/>
      <x:c r="C15" s="3"/>
      <x:c r="D15" s="3"/>
      <x:c r="E15" s="3"/>
      <x:c r="F15" s="55"/>
      <x:c r="G15" s="4"/>
      <x:c r="H15" s="4"/>
      <x:c r="I15" s="4"/>
      <x:c r="J15" s="4"/>
      <x:c r="K15" s="4"/>
      <x:c r="L15" s="4"/>
    </x:row>
    <x:row r="16" ht="21.600000381469727" customHeight="1">
      <x:c r="A16" s="182" t="s">
        <x:v>257</x:v>
      </x:c>
      <x:c r="B16" s="183"/>
      <x:c r="C16" s="183"/>
      <x:c r="D16" s="184"/>
      <x:c r="E16" s="191" t="s">
        <x:v>258</x:v>
      </x:c>
      <x:c r="F16" s="192"/>
      <x:c r="G16" s="193"/>
      <x:c r="H16" s="194"/>
      <x:c r="I16" s="203" t="s">
        <x:v>259</x:v>
      </x:c>
      <x:c r="J16" s="204"/>
      <x:c r="K16" s="204"/>
      <x:c r="L16" s="205"/>
    </x:row>
    <x:row r="17" ht="21.600000381469727" customHeight="1">
      <x:c r="A17" s="185"/>
      <x:c r="B17" s="186"/>
      <x:c r="C17" s="186"/>
      <x:c r="D17" s="187"/>
      <x:c r="E17" s="195"/>
      <x:c r="F17" s="196"/>
      <x:c r="G17" s="197"/>
      <x:c r="H17" s="198"/>
      <x:c r="I17" s="206"/>
      <x:c r="J17" s="207"/>
      <x:c r="K17" s="207"/>
      <x:c r="L17" s="208"/>
    </x:row>
    <x:row r="18" ht="21.600000381469727" customHeight="1">
      <x:c r="A18" s="188"/>
      <x:c r="B18" s="189"/>
      <x:c r="C18" s="189"/>
      <x:c r="D18" s="190"/>
      <x:c r="E18" s="199"/>
      <x:c r="F18" s="200"/>
      <x:c r="G18" s="201"/>
      <x:c r="H18" s="202"/>
      <x:c r="I18" s="209"/>
      <x:c r="J18" s="210"/>
      <x:c r="K18" s="210"/>
      <x:c r="L18" s="211"/>
    </x:row>
    <x:row r="19" ht="21.600000381469727" customHeight="1">
      <x:c r="A19" s="53"/>
      <x:c r="B19" s="3"/>
      <x:c r="C19" s="3"/>
      <x:c r="D19" s="3"/>
      <x:c r="E19" s="3"/>
      <x:c r="F19" s="55"/>
      <x:c r="G19" s="4"/>
      <x:c r="H19" s="4"/>
      <x:c r="I19" s="4"/>
      <x:c r="J19" s="4"/>
      <x:c r="K19" s="4"/>
      <x:c r="L19" s="4"/>
    </x:row>
    <x:row r="20" ht="21.600000381469727" customHeight="1">
      <x:c r="A20" s="212" t="s">
        <x:v>260</x:v>
      </x:c>
      <x:c r="B20" s="213"/>
      <x:c r="C20" s="213"/>
      <x:c r="D20" s="213"/>
      <x:c r="E20" s="213"/>
      <x:c r="F20" s="214"/>
      <x:c r="G20" s="213"/>
      <x:c r="H20" s="213"/>
      <x:c r="I20" s="213"/>
      <x:c r="J20" s="213"/>
      <x:c r="K20" s="213"/>
      <x:c r="L20" s="213"/>
    </x:row>
    <x:row r="21">
      <x:c r="A21" s="53"/>
      <x:c r="B21" s="3"/>
      <x:c r="C21" s="3"/>
      <x:c r="D21" s="3"/>
      <x:c r="E21" s="3"/>
      <x:c r="F21" s="55"/>
      <x:c r="G21" s="4"/>
      <x:c r="H21" s="4"/>
      <x:c r="I21" s="4"/>
      <x:c r="J21" s="4"/>
      <x:c r="K21" s="4"/>
      <x:c r="L21" s="4"/>
    </x:row>
    <x:row r="22">
      <x:c r="A22" s="53"/>
      <x:c r="B22" s="3"/>
      <x:c r="C22" s="3"/>
      <x:c r="D22" s="3"/>
      <x:c r="E22" s="3"/>
      <x:c r="F22" s="55"/>
      <x:c r="G22" s="4"/>
      <x:c r="H22" s="4"/>
      <x:c r="I22" s="4"/>
      <x:c r="J22" s="4"/>
      <x:c r="K22" s="4"/>
      <x:c r="L22" s="4"/>
    </x:row>
    <x:row r="23" ht="17.549999237060547" customHeight="1">
      <x:c r="A23" s="16" t="s">
        <x:v>61</x:v>
      </x:c>
      <x:c r="B23" s="17" t="s">
        <x:v>261</x:v>
      </x:c>
      <x:c r="C23" s="17" t="s">
        <x:v>262</x:v>
      </x:c>
      <x:c r="D23" s="17" t="s">
        <x:v>263</x:v>
      </x:c>
      <x:c r="E23" s="17" t="s">
        <x:v>264</x:v>
      </x:c>
      <x:c r="F23" s="19" t="s">
        <x:v>265</x:v>
      </x:c>
      <x:c r="G23" s="4"/>
      <x:c r="H23" s="215" t="s">
        <x:v>266</x:v>
      </x:c>
      <x:c r="I23" s="215"/>
      <x:c r="J23" s="215"/>
      <x:c r="K23" s="215"/>
      <x:c r="L23" s="215"/>
    </x:row>
    <x:row r="24" ht="17.549999237060547" customHeight="1">
      <x:c r="A24" s="71" t="s">
        <x:v>68</x:v>
      </x:c>
      <x:c r="B24" s="72" t="e">
        <x:f ca="1">_xludf.TEXTBEFORE(A24,"|")</x:f>
        <x:v>#NAME?</x:v>
      </x:c>
      <x:c r="C24" s="72" t="e">
        <x:f ca="1">_xludf.TEXTAFTER(A24,"|")</x:f>
        <x:v>#NAME?</x:v>
      </x:c>
      <x:c r="D24" s="72" t="e">
        <x:f ca="1">_xludf.TEXTBEFORE(_xludf.TEXTAFTER(A24,"|"),"|")</x:f>
        <x:v>#NAME?</x:v>
      </x:c>
      <x:c r="E24" s="72" t="e">
        <x:f ca="1">_xludf.TEXTBEFORE(_xludf.TEXTAFTER(A24,"|",2),"|")</x:f>
        <x:v>#NAME?</x:v>
      </x:c>
      <x:c r="F24" s="73" t="e">
        <x:f ca="1">_xludf.TEXTAFTER(A24,"|",3)</x:f>
        <x:v>#NAME?</x:v>
      </x:c>
      <x:c r="G24" s="4"/>
      <x:c r="H24" s="4"/>
      <x:c r="I24" s="4"/>
      <x:c r="J24" s="4"/>
      <x:c r="K24" s="4"/>
      <x:c r="L24" s="4"/>
    </x:row>
    <x:row r="25" ht="17.549999237060547" customHeight="1">
      <x:c r="A25" s="34" t="s">
        <x:v>72</x:v>
      </x:c>
      <x:c r="B25" s="74" t="e">
        <x:f ca="1">_xludf.TEXTBEFORE(A25,"|")</x:f>
        <x:v>#NAME?</x:v>
      </x:c>
      <x:c r="C25" s="74" t="e">
        <x:f ca="1">_xludf.TEXTAFTER(A25,"|")</x:f>
        <x:v>#NAME?</x:v>
      </x:c>
      <x:c r="D25" s="74" t="e">
        <x:f ca="1">_xludf.TEXTBEFORE(_xludf.TEXTAFTER(A25,"|"),"|")</x:f>
        <x:v>#NAME?</x:v>
      </x:c>
      <x:c r="E25" s="74" t="e">
        <x:f ca="1">_xludf.TEXTBEFORE(_xludf.TEXTAFTER(A25,"|",2),"|")</x:f>
        <x:v>#NAME?</x:v>
      </x:c>
      <x:c r="F25" s="75" t="e">
        <x:f ca="1">_xludf.TEXTAFTER(A25,"|",3)</x:f>
        <x:v>#NAME?</x:v>
      </x:c>
      <x:c r="G25" s="4"/>
      <x:c r="H25" s="16" t="s">
        <x:v>267</x:v>
      </x:c>
      <x:c r="I25" s="17" t="s">
        <x:v>261</x:v>
      </x:c>
      <x:c r="J25" s="17" t="s">
        <x:v>263</x:v>
      </x:c>
      <x:c r="K25" s="17" t="s">
        <x:v>264</x:v>
      </x:c>
      <x:c r="L25" s="19" t="s">
        <x:v>265</x:v>
      </x:c>
    </x:row>
    <x:row r="26" ht="17.549999237060547" customHeight="1">
      <x:c r="A26" s="34" t="s">
        <x:v>76</x:v>
      </x:c>
      <x:c r="B26" s="74" t="e">
        <x:f ca="1">_xludf.TEXTBEFORE(A26,"|")</x:f>
        <x:v>#NAME?</x:v>
      </x:c>
      <x:c r="C26" s="74" t="e">
        <x:f ca="1">_xludf.TEXTAFTER(A26,"|")</x:f>
        <x:v>#NAME?</x:v>
      </x:c>
      <x:c r="D26" s="74" t="e">
        <x:f ca="1">_xludf.TEXTBEFORE(_xludf.TEXTAFTER(A26,"|"),"|")</x:f>
        <x:v>#NAME?</x:v>
      </x:c>
      <x:c r="E26" s="74" t="e">
        <x:f ca="1">_xludf.TEXTBEFORE(_xludf.TEXTAFTER(A26,"|",2),"|")</x:f>
        <x:v>#NAME?</x:v>
      </x:c>
      <x:c r="F26" s="75" t="e">
        <x:f ca="1">_xludf.TEXTAFTER(A26,"|",3)</x:f>
        <x:v>#NAME?</x:v>
      </x:c>
      <x:c r="G26" s="4"/>
      <x:c r="H26" s="4" t="s">
        <x:v>83</x:v>
      </x:c>
      <x:c r="I26" s="82"/>
      <x:c r="J26" s="83"/>
      <x:c r="K26" s="83"/>
      <x:c r="L26" s="84"/>
    </x:row>
    <x:row r="27" ht="17.549999237060547" customHeight="1">
      <x:c r="A27" s="34" t="s">
        <x:v>80</x:v>
      </x:c>
      <x:c r="B27" s="78"/>
      <x:c r="C27" s="78"/>
      <x:c r="D27" s="78"/>
      <x:c r="E27" s="78"/>
      <x:c r="F27" s="79"/>
      <x:c r="G27" s="4"/>
      <x:c r="H27" s="4"/>
      <x:c r="I27" s="4"/>
      <x:c r="J27" s="4"/>
      <x:c r="K27" s="4"/>
      <x:c r="L27" s="4"/>
    </x:row>
    <x:row r="28" ht="17.549999237060547" customHeight="1">
      <x:c r="A28" s="34" t="s">
        <x:v>83</x:v>
      </x:c>
      <x:c r="B28" s="78"/>
      <x:c r="C28" s="78"/>
      <x:c r="D28" s="78"/>
      <x:c r="E28" s="78"/>
      <x:c r="F28" s="79"/>
      <x:c r="G28" s="4"/>
      <x:c r="H28" s="216" t="s">
        <x:v>268</x:v>
      </x:c>
      <x:c r="I28" s="216"/>
      <x:c r="J28" s="216"/>
      <x:c r="K28" s="216"/>
      <x:c r="L28" s="216"/>
    </x:row>
    <x:row r="29" ht="17.549999237060547" customHeight="1">
      <x:c r="A29" s="34" t="s">
        <x:v>86</x:v>
      </x:c>
      <x:c r="B29" s="78"/>
      <x:c r="C29" s="78"/>
      <x:c r="D29" s="78"/>
      <x:c r="E29" s="78"/>
      <x:c r="F29" s="79"/>
      <x:c r="G29" s="4"/>
      <x:c r="H29" s="216"/>
      <x:c r="I29" s="216"/>
      <x:c r="J29" s="216"/>
      <x:c r="K29" s="216"/>
      <x:c r="L29" s="216"/>
    </x:row>
    <x:row r="30" ht="17.549999237060547" customHeight="1">
      <x:c r="A30" s="34" t="s">
        <x:v>88</x:v>
      </x:c>
      <x:c r="B30" s="78"/>
      <x:c r="C30" s="78"/>
      <x:c r="D30" s="78"/>
      <x:c r="E30" s="78"/>
      <x:c r="F30" s="79"/>
      <x:c r="G30" s="4"/>
      <x:c r="H30" s="4"/>
      <x:c r="I30" s="4"/>
      <x:c r="J30" s="4"/>
      <x:c r="K30" s="4"/>
      <x:c r="L30" s="4"/>
    </x:row>
    <x:row r="31" ht="17.549999237060547" customHeight="1">
      <x:c r="A31" s="34" t="s">
        <x:v>91</x:v>
      </x:c>
      <x:c r="B31" s="78"/>
      <x:c r="C31" s="78"/>
      <x:c r="D31" s="78"/>
      <x:c r="E31" s="78"/>
      <x:c r="F31" s="79"/>
      <x:c r="G31" s="4"/>
      <x:c r="H31" s="4"/>
      <x:c r="I31" s="4"/>
      <x:c r="J31" s="4"/>
      <x:c r="K31" s="4"/>
      <x:c r="L31" s="4"/>
    </x:row>
    <x:row r="32" ht="17.549999237060547" customHeight="1">
      <x:c r="A32" s="34" t="s">
        <x:v>94</x:v>
      </x:c>
      <x:c r="B32" s="78"/>
      <x:c r="C32" s="78"/>
      <x:c r="D32" s="78"/>
      <x:c r="E32" s="78"/>
      <x:c r="F32" s="79"/>
      <x:c r="G32" s="4"/>
      <x:c r="H32" s="4"/>
      <x:c r="I32" s="4"/>
      <x:c r="J32" s="4"/>
      <x:c r="K32" s="4"/>
      <x:c r="L32" s="4"/>
    </x:row>
    <x:row r="33" ht="17.549999237060547" customHeight="1">
      <x:c r="A33" s="34" t="s">
        <x:v>97</x:v>
      </x:c>
      <x:c r="B33" s="78"/>
      <x:c r="C33" s="78"/>
      <x:c r="D33" s="78"/>
      <x:c r="E33" s="78"/>
      <x:c r="F33" s="79"/>
      <x:c r="G33" s="4"/>
      <x:c r="H33" s="4"/>
      <x:c r="I33" s="4"/>
      <x:c r="J33" s="4"/>
      <x:c r="K33" s="4"/>
      <x:c r="L33" s="4"/>
    </x:row>
    <x:row r="34" ht="17.549999237060547" customHeight="1">
      <x:c r="A34" s="34" t="s">
        <x:v>100</x:v>
      </x:c>
      <x:c r="B34" s="78"/>
      <x:c r="C34" s="78"/>
      <x:c r="D34" s="78"/>
      <x:c r="E34" s="78"/>
      <x:c r="F34" s="79"/>
      <x:c r="G34" s="4"/>
      <x:c r="H34" s="4"/>
      <x:c r="I34" s="4"/>
      <x:c r="J34" s="4"/>
      <x:c r="K34" s="4"/>
      <x:c r="L34" s="4"/>
    </x:row>
    <x:row r="35" ht="17.549999237060547" customHeight="1">
      <x:c r="A35" s="34" t="s">
        <x:v>103</x:v>
      </x:c>
      <x:c r="B35" s="78"/>
      <x:c r="C35" s="78"/>
      <x:c r="D35" s="78"/>
      <x:c r="E35" s="78"/>
      <x:c r="F35" s="79"/>
      <x:c r="G35" s="4"/>
      <x:c r="H35" s="4"/>
      <x:c r="I35" s="4"/>
      <x:c r="J35" s="4"/>
      <x:c r="K35" s="4"/>
      <x:c r="L35" s="4"/>
    </x:row>
    <x:row r="36" ht="17.549999237060547" customHeight="1">
      <x:c r="A36" s="34" t="s">
        <x:v>105</x:v>
      </x:c>
      <x:c r="B36" s="78"/>
      <x:c r="C36" s="78"/>
      <x:c r="D36" s="78"/>
      <x:c r="E36" s="78"/>
      <x:c r="F36" s="79"/>
      <x:c r="G36" s="4"/>
      <x:c r="H36" s="4"/>
      <x:c r="I36" s="4"/>
      <x:c r="J36" s="4"/>
      <x:c r="K36" s="4"/>
      <x:c r="L36" s="4"/>
    </x:row>
    <x:row r="37" ht="17.549999237060547" customHeight="1">
      <x:c r="A37" s="34" t="s">
        <x:v>108</x:v>
      </x:c>
      <x:c r="B37" s="78"/>
      <x:c r="C37" s="78"/>
      <x:c r="D37" s="78"/>
      <x:c r="E37" s="78"/>
      <x:c r="F37" s="79"/>
      <x:c r="G37" s="4"/>
      <x:c r="H37" s="4"/>
      <x:c r="I37" s="4"/>
      <x:c r="J37" s="4"/>
      <x:c r="K37" s="4"/>
      <x:c r="L37" s="4"/>
    </x:row>
    <x:row r="38" ht="17.549999237060547" customHeight="1">
      <x:c r="A38" s="34" t="s">
        <x:v>111</x:v>
      </x:c>
      <x:c r="B38" s="78"/>
      <x:c r="C38" s="78"/>
      <x:c r="D38" s="78"/>
      <x:c r="E38" s="78"/>
      <x:c r="F38" s="79"/>
      <x:c r="G38" s="4"/>
      <x:c r="H38" s="4"/>
      <x:c r="I38" s="4"/>
      <x:c r="J38" s="4"/>
      <x:c r="K38" s="4"/>
      <x:c r="L38" s="4"/>
    </x:row>
    <x:row r="39" ht="17.549999237060547" customHeight="1">
      <x:c r="A39" s="34" t="s">
        <x:v>114</x:v>
      </x:c>
      <x:c r="B39" s="78"/>
      <x:c r="C39" s="78"/>
      <x:c r="D39" s="78"/>
      <x:c r="E39" s="78"/>
      <x:c r="F39" s="79"/>
      <x:c r="G39" s="4"/>
      <x:c r="H39" s="4"/>
      <x:c r="I39" s="4"/>
      <x:c r="J39" s="4"/>
      <x:c r="K39" s="4"/>
      <x:c r="L39" s="4"/>
    </x:row>
    <x:row r="40" ht="17.549999237060547" customHeight="1">
      <x:c r="A40" s="34" t="s">
        <x:v>117</x:v>
      </x:c>
      <x:c r="B40" s="78"/>
      <x:c r="C40" s="78"/>
      <x:c r="D40" s="78"/>
      <x:c r="E40" s="78"/>
      <x:c r="F40" s="79"/>
      <x:c r="G40" s="4"/>
      <x:c r="H40" s="4"/>
      <x:c r="I40" s="4"/>
      <x:c r="J40" s="4"/>
      <x:c r="K40" s="4"/>
      <x:c r="L40" s="4"/>
    </x:row>
    <x:row r="41" ht="17.549999237060547" customHeight="1">
      <x:c r="A41" s="36" t="s">
        <x:v>120</x:v>
      </x:c>
      <x:c r="B41" s="80"/>
      <x:c r="C41" s="80"/>
      <x:c r="D41" s="80"/>
      <x:c r="E41" s="80"/>
      <x:c r="F41" s="81"/>
      <x:c r="G41" s="4"/>
      <x:c r="H41" s="4"/>
      <x:c r="I41" s="4"/>
      <x:c r="J41" s="4"/>
      <x:c r="K41" s="4"/>
      <x:c r="L41" s="4"/>
    </x:row>
    <x:row r="42">
      <x:c r="A42" s="4"/>
      <x:c r="B42" s="4"/>
      <x:c r="C42" s="4"/>
      <x:c r="D42" s="4"/>
      <x:c r="E42" s="4"/>
      <x:c r="F42" s="4"/>
      <x:c r="G42" s="4"/>
      <x:c r="H42" s="4"/>
      <x:c r="I42" s="4"/>
      <x:c r="J42" s="4"/>
      <x:c r="K42" s="4"/>
      <x:c r="L42" s="4"/>
    </x:row>
    <x:row r="43">
      <x:c r="A43" s="4"/>
      <x:c r="B43" s="4"/>
      <x:c r="C43" s="4"/>
      <x:c r="D43" s="4"/>
      <x:c r="E43" s="4"/>
      <x:c r="F43" s="4"/>
      <x:c r="G43" s="4"/>
      <x:c r="H43" s="4"/>
      <x:c r="I43" s="4"/>
      <x:c r="J43" s="4"/>
      <x:c r="K43" s="4"/>
      <x:c r="L43" s="4"/>
    </x:row>
    <x:row r="44">
      <x:c r="A44" s="4"/>
      <x:c r="B44" s="4"/>
      <x:c r="C44" s="4"/>
      <x:c r="D44" s="4"/>
      <x:c r="E44" s="4"/>
      <x:c r="F44" s="4"/>
      <x:c r="G44" s="4"/>
      <x:c r="H44" s="4"/>
      <x:c r="I44" s="4"/>
      <x:c r="J44" s="4"/>
      <x:c r="K44" s="4"/>
      <x:c r="L44" s="4"/>
    </x:row>
    <x:row r="45">
      <x:c r="A45" s="4"/>
      <x:c r="B45" s="4"/>
      <x:c r="C45" s="4"/>
      <x:c r="D45" s="4"/>
      <x:c r="E45" s="4"/>
      <x:c r="F45" s="4"/>
      <x:c r="G45" s="4"/>
      <x:c r="H45" s="4"/>
      <x:c r="I45" s="4"/>
      <x:c r="J45" s="4"/>
      <x:c r="K45" s="4"/>
      <x:c r="L45" s="4"/>
    </x:row>
    <x:row r="46">
      <x:c r="A46" s="4"/>
      <x:c r="B46" s="4"/>
      <x:c r="C46" s="4"/>
      <x:c r="D46" s="4"/>
      <x:c r="E46" s="4"/>
      <x:c r="F46" s="4"/>
      <x:c r="G46" s="4"/>
      <x:c r="H46" s="4"/>
      <x:c r="I46" s="4"/>
      <x:c r="J46" s="4"/>
      <x:c r="K46" s="4"/>
      <x:c r="L46" s="4"/>
    </x:row>
    <x:row r="47">
      <x:c r="A47" s="4"/>
      <x:c r="B47" s="4"/>
      <x:c r="C47" s="4"/>
      <x:c r="D47" s="4"/>
      <x:c r="E47" s="4"/>
      <x:c r="F47" s="4"/>
      <x:c r="G47" s="4"/>
      <x:c r="H47" s="4"/>
      <x:c r="I47" s="4"/>
      <x:c r="J47" s="4"/>
      <x:c r="K47" s="4"/>
      <x:c r="L47" s="4"/>
    </x:row>
    <x:row r="48">
      <x:c r="A48" s="4"/>
      <x:c r="B48" s="4"/>
      <x:c r="C48" s="4"/>
      <x:c r="D48" s="4"/>
      <x:c r="E48" s="4"/>
      <x:c r="F48" s="4"/>
      <x:c r="G48" s="4"/>
      <x:c r="H48" s="4"/>
      <x:c r="I48" s="4"/>
      <x:c r="J48" s="4"/>
      <x:c r="K48" s="4"/>
      <x:c r="L48" s="4"/>
    </x:row>
    <x:row r="49">
      <x:c r="A49" s="4"/>
      <x:c r="B49" s="4"/>
      <x:c r="C49" s="4"/>
      <x:c r="D49" s="4"/>
      <x:c r="E49" s="4"/>
      <x:c r="F49" s="4"/>
      <x:c r="G49" s="4"/>
      <x:c r="H49" s="4"/>
      <x:c r="I49" s="4"/>
      <x:c r="J49" s="4"/>
      <x:c r="K49" s="4"/>
      <x:c r="L49" s="4"/>
    </x:row>
    <x:row r="50">
      <x:c r="A50" s="4"/>
      <x:c r="B50" s="4"/>
      <x:c r="C50" s="4"/>
      <x:c r="D50" s="4"/>
      <x:c r="E50" s="4"/>
      <x:c r="F50" s="4"/>
      <x:c r="G50" s="4"/>
      <x:c r="H50" s="4"/>
      <x:c r="I50" s="4"/>
      <x:c r="J50" s="4"/>
      <x:c r="K50" s="4"/>
      <x:c r="L50" s="4"/>
    </x:row>
    <x:row r="51">
      <x:c r="A51" s="4"/>
      <x:c r="B51" s="4"/>
      <x:c r="C51" s="4"/>
      <x:c r="D51" s="4"/>
      <x:c r="E51" s="4"/>
      <x:c r="F51" s="4"/>
      <x:c r="G51" s="4"/>
      <x:c r="H51" s="4"/>
      <x:c r="I51" s="4"/>
      <x:c r="J51" s="4"/>
      <x:c r="K51" s="4"/>
      <x:c r="L51" s="4"/>
    </x:row>
    <x:row r="52">
      <x:c r="A52" s="4"/>
      <x:c r="B52" s="4"/>
      <x:c r="C52" s="4"/>
      <x:c r="D52" s="4"/>
      <x:c r="E52" s="4"/>
      <x:c r="F52" s="4"/>
      <x:c r="G52" s="4"/>
      <x:c r="H52" s="4"/>
      <x:c r="I52" s="4"/>
      <x:c r="J52" s="4"/>
      <x:c r="K52" s="4"/>
      <x:c r="L52" s="4"/>
    </x:row>
  </x:sheetData>
  <x:mergeCells>
    <x:mergeCell ref="H23:L23"/>
    <x:mergeCell ref="H28:L29"/>
    <x:mergeCell ref="H11:L12"/>
    <x:mergeCell ref="A16:D18"/>
    <x:mergeCell ref="E16:H18"/>
    <x:mergeCell ref="I16:L18"/>
    <x:mergeCell ref="A20:L20"/>
    <x:mergeCell ref="A1:L2"/>
    <x:mergeCell ref="A3:L3"/>
    <x:mergeCell ref="A5:L6"/>
    <x:mergeCell ref="A7:L8"/>
    <x:mergeCell ref="H10:L10"/>
  </x:mergeCells>
  <x:dataValidations count="6">
    <x:dataValidation allowBlank="1" showInputMessage="1" promptTitle="Composite Key | المفتاح المركب" prompt="Structured text separated by |._x000a_نص منظم يفصل بين حقوله الرمز |." sqref="A23"/>
    <x:dataValidation allowBlank="1" showInputMessage="1" promptTitle="Region | المنطقة" prompt="Extract the first field._x000a_استخرج أول حقل." sqref="B23"/>
    <x:dataValidation allowBlank="1" showInputMessage="1" promptTitle="After 1st | | بعد أول فاصل" prompt="Return everything after the first delimiter._x000a_أرجع كل ما بعد أول فاصل." sqref="C23"/>
    <x:dataValidation allowBlank="1" showInputMessage="1" promptTitle="Service | الخدمة" prompt="Extract the second field._x000a_استخرج الحقل الثاني." sqref="D23"/>
    <x:dataValidation allowBlank="1" showInputMessage="1" promptTitle="Customer ID | رقم العميل" prompt="Extract the third field._x000a_استخرج الحقل الثالث." sqref="E23"/>
    <x:dataValidation allowBlank="1" showInputMessage="1" promptTitle="Order Type | نوع الطلب" prompt="Extract the fourth field._x000a_استخرج الحقل الرابع." sqref="F23"/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3.800000190734863"/>
  <x:cols>
    <x:col min="1" max="1" width="15" customWidth="1"/>
    <x:col min="2" max="2" width="23" customWidth="1"/>
    <x:col min="3" max="3" width="13" customWidth="1"/>
    <x:col min="4" max="4" width="15" customWidth="1"/>
    <x:col min="5" max="5" width="20" customWidth="1"/>
    <x:col min="6" max="6" width="4" customWidth="1"/>
    <x:col min="7" max="8" width="28" customWidth="1"/>
  </x:cols>
  <x:sheetData>
    <x:row r="1">
      <x:c r="A1" s="169" t="s">
        <x:v>269</x:v>
      </x:c>
      <x:c r="B1" s="169"/>
      <x:c r="C1" s="169"/>
      <x:c r="D1" s="169"/>
      <x:c r="E1" s="169"/>
      <x:c r="F1" s="169"/>
      <x:c r="G1" s="169"/>
      <x:c r="H1" s="169"/>
    </x:row>
    <x:row r="2">
      <x:c r="A2" s="169"/>
      <x:c r="B2" s="169"/>
      <x:c r="C2" s="169"/>
      <x:c r="D2" s="169"/>
      <x:c r="E2" s="169"/>
      <x:c r="F2" s="169"/>
      <x:c r="G2" s="169"/>
      <x:c r="H2" s="169"/>
    </x:row>
    <x:row r="3">
      <x:c r="A3" s="294" t="s">
        <x:v>270</x:v>
      </x:c>
      <x:c r="B3" s="111"/>
      <x:c r="C3" s="111"/>
      <x:c r="D3" s="111"/>
      <x:c r="E3" s="111"/>
      <x:c r="F3" s="111"/>
      <x:c r="G3" s="111"/>
      <x:c r="H3" s="111"/>
    </x:row>
    <x:row r="4" ht="4.800000190734863" customHeight="1">
      <x:c r="A4" s="4"/>
      <x:c r="B4" s="4"/>
      <x:c r="C4" s="4"/>
      <x:c r="D4" s="4"/>
      <x:c r="E4" s="4"/>
      <x:c r="F4" s="4"/>
      <x:c r="G4" s="4"/>
      <x:c r="H4" s="4"/>
    </x:row>
    <x:row r="5">
      <x:c r="A5" s="153" t="s">
        <x:v>271</x:v>
      </x:c>
      <x:c r="B5" s="154"/>
      <x:c r="C5" s="154"/>
      <x:c r="D5" s="154"/>
      <x:c r="E5" s="154"/>
      <x:c r="F5" s="154"/>
      <x:c r="G5" s="154"/>
      <x:c r="H5" s="154"/>
    </x:row>
    <x:row r="6">
      <x:c r="A6" s="153"/>
      <x:c r="B6" s="154"/>
      <x:c r="C6" s="154"/>
      <x:c r="D6" s="154"/>
      <x:c r="E6" s="154"/>
      <x:c r="F6" s="154"/>
      <x:c r="G6" s="154"/>
      <x:c r="H6" s="154"/>
    </x:row>
    <x:row r="7" ht="19.200000762939453" customHeight="1">
      <x:c r="A7" s="298" t="s">
        <x:v>272</x:v>
      </x:c>
      <x:c r="B7" s="176"/>
      <x:c r="C7" s="176"/>
      <x:c r="D7" s="176"/>
      <x:c r="E7" s="176"/>
      <x:c r="F7" s="176"/>
      <x:c r="G7" s="176"/>
      <x:c r="H7" s="177"/>
    </x:row>
    <x:row r="8" ht="19.200000762939453" customHeight="1">
      <x:c r="A8" s="176"/>
      <x:c r="B8" s="176"/>
      <x:c r="C8" s="176"/>
      <x:c r="D8" s="176"/>
      <x:c r="E8" s="176"/>
      <x:c r="F8" s="176"/>
      <x:c r="G8" s="176"/>
      <x:c r="H8" s="177"/>
    </x:row>
    <x:row r="9">
      <x:c r="A9" s="9"/>
      <x:c r="B9" s="10"/>
      <x:c r="C9" s="10"/>
      <x:c r="D9" s="10"/>
      <x:c r="E9" s="11"/>
      <x:c r="F9" s="4"/>
      <x:c r="G9" s="4"/>
      <x:c r="H9" s="4"/>
    </x:row>
    <x:row r="10">
      <x:c r="A10" s="16" t="s">
        <x:v>60</x:v>
      </x:c>
      <x:c r="B10" s="17" t="s">
        <x:v>62</x:v>
      </x:c>
      <x:c r="C10" s="17" t="s">
        <x:v>273</x:v>
      </x:c>
      <x:c r="D10" s="17" t="s">
        <x:v>274</x:v>
      </x:c>
      <x:c r="E10" s="19" t="s">
        <x:v>275</x:v>
      </x:c>
      <x:c r="F10" s="4"/>
      <x:c r="G10" s="114" t="s">
        <x:v>276</x:v>
      </x:c>
      <x:c r="H10" s="114"/>
    </x:row>
    <x:row r="11">
      <x:c r="A11" s="26" t="s">
        <x:v>277</x:v>
      </x:c>
      <x:c r="B11" s="27" t="s">
        <x:v>69</x:v>
      </x:c>
      <x:c r="C11" s="27" t="s">
        <x:v>278</x:v>
      </x:c>
      <x:c r="D11" s="27" t="s">
        <x:v>279</x:v>
      </x:c>
      <x:c r="E11" s="58" t="s">
        <x:v>280</x:v>
      </x:c>
      <x:c r="F11" s="4"/>
      <x:c r="G11" s="181" t="str">
        <x:f>"=ISTEXT(66272)  →  FALSE
=ISNONTEXT(66272)  →  TRUE"</x:f>
        <x:v>=ISTEXT(66272)  →  FALSE
=ISNONTEXT(66272)  →  TRUE</x:v>
      </x:c>
      <x:c r="H11" s="181"/>
    </x:row>
    <x:row r="12">
      <x:c r="A12" s="30" t="s">
        <x:v>281</x:v>
      </x:c>
      <x:c r="B12" s="20">
        <x:v>66272</x:v>
      </x:c>
      <x:c r="C12" s="20" t="s">
        <x:v>278</x:v>
      </x:c>
      <x:c r="D12" s="69" t="s">
        <x:v>282</x:v>
      </x:c>
      <x:c r="E12" s="85" t="s">
        <x:v>283</x:v>
      </x:c>
      <x:c r="F12" s="4"/>
      <x:c r="G12" s="181"/>
      <x:c r="H12" s="181"/>
    </x:row>
    <x:row r="13">
      <x:c r="A13" s="30" t="s">
        <x:v>284</x:v>
      </x:c>
      <x:c r="B13" s="20" t="s">
        <x:v>92</x:v>
      </x:c>
      <x:c r="C13" s="20" t="s">
        <x:v>278</x:v>
      </x:c>
      <x:c r="D13" s="20" t="s">
        <x:v>279</x:v>
      </x:c>
      <x:c r="E13" s="60" t="s">
        <x:v>280</x:v>
      </x:c>
      <x:c r="F13" s="4"/>
      <x:c r="G13" s="4"/>
      <x:c r="H13" s="4"/>
    </x:row>
    <x:row r="14">
      <x:c r="A14" s="30" t="s">
        <x:v>285</x:v>
      </x:c>
      <x:c r="B14" s="20">
        <x:v>33507</x:v>
      </x:c>
      <x:c r="C14" s="20" t="s">
        <x:v>278</x:v>
      </x:c>
      <x:c r="D14" s="69" t="s">
        <x:v>282</x:v>
      </x:c>
      <x:c r="E14" s="85" t="s">
        <x:v>283</x:v>
      </x:c>
      <x:c r="F14" s="4"/>
      <x:c r="G14" s="197" t="s">
        <x:v>286</x:v>
      </x:c>
      <x:c r="H14" s="197"/>
    </x:row>
    <x:row r="15">
      <x:c r="A15" s="65" t="s">
        <x:v>287</x:v>
      </x:c>
      <x:c r="B15" s="66" t="s">
        <x:v>109</x:v>
      </x:c>
      <x:c r="C15" s="66" t="s">
        <x:v>278</x:v>
      </x:c>
      <x:c r="D15" s="66" t="s">
        <x:v>279</x:v>
      </x:c>
      <x:c r="E15" s="67" t="s">
        <x:v>280</x:v>
      </x:c>
      <x:c r="F15" s="4"/>
      <x:c r="G15" s="197"/>
      <x:c r="H15" s="197"/>
    </x:row>
    <x:row r="16">
      <x:c r="A16" s="53"/>
      <x:c r="B16" s="3"/>
      <x:c r="C16" s="3"/>
      <x:c r="D16" s="3"/>
      <x:c r="E16" s="55"/>
      <x:c r="F16" s="4"/>
      <x:c r="G16" s="4"/>
      <x:c r="H16" s="4"/>
    </x:row>
    <x:row r="17">
      <x:c r="A17" s="53"/>
      <x:c r="B17" s="3"/>
      <x:c r="C17" s="3"/>
      <x:c r="D17" s="3"/>
      <x:c r="E17" s="55"/>
      <x:c r="F17" s="4"/>
      <x:c r="G17" s="4"/>
      <x:c r="H17" s="4"/>
    </x:row>
    <x:row r="18">
      <x:c r="A18" s="182" t="s">
        <x:v>288</x:v>
      </x:c>
      <x:c r="B18" s="183"/>
      <x:c r="C18" s="183"/>
      <x:c r="D18" s="184"/>
      <x:c r="E18" s="217" t="s">
        <x:v>289</x:v>
      </x:c>
      <x:c r="F18" s="193"/>
      <x:c r="G18" s="193"/>
      <x:c r="H18" s="194"/>
    </x:row>
    <x:row r="19">
      <x:c r="A19" s="185"/>
      <x:c r="B19" s="186"/>
      <x:c r="C19" s="186"/>
      <x:c r="D19" s="187"/>
      <x:c r="E19" s="218"/>
      <x:c r="F19" s="197"/>
      <x:c r="G19" s="197"/>
      <x:c r="H19" s="198"/>
    </x:row>
    <x:row r="20">
      <x:c r="A20" s="188"/>
      <x:c r="B20" s="189"/>
      <x:c r="C20" s="189"/>
      <x:c r="D20" s="190"/>
      <x:c r="E20" s="219"/>
      <x:c r="F20" s="201"/>
      <x:c r="G20" s="201"/>
      <x:c r="H20" s="202"/>
    </x:row>
    <x:row r="21">
      <x:c r="A21" s="53"/>
      <x:c r="B21" s="3"/>
      <x:c r="C21" s="3"/>
      <x:c r="D21" s="3"/>
      <x:c r="E21" s="55"/>
      <x:c r="F21" s="4"/>
      <x:c r="G21" s="4"/>
      <x:c r="H21" s="4"/>
    </x:row>
    <x:row r="22">
      <x:c r="A22" s="53"/>
      <x:c r="B22" s="3"/>
      <x:c r="C22" s="3"/>
      <x:c r="D22" s="3"/>
      <x:c r="E22" s="55"/>
      <x:c r="F22" s="4"/>
      <x:c r="G22" s="4"/>
      <x:c r="H22" s="4"/>
    </x:row>
    <x:row r="23" ht="17.549999237060547" customHeight="1">
      <x:c r="A23" s="16" t="s">
        <x:v>60</x:v>
      </x:c>
      <x:c r="B23" s="17" t="s">
        <x:v>62</x:v>
      </x:c>
      <x:c r="C23" s="17" t="s">
        <x:v>290</x:v>
      </x:c>
      <x:c r="D23" s="17" t="s">
        <x:v>291</x:v>
      </x:c>
      <x:c r="E23" s="19" t="s">
        <x:v>292</x:v>
      </x:c>
      <x:c r="F23" s="4"/>
      <x:c r="G23" s="4"/>
      <x:c r="H23" s="4"/>
    </x:row>
    <x:row r="24" ht="17.549999237060547" customHeight="1">
      <x:c r="A24" s="26" t="s">
        <x:v>67</x:v>
      </x:c>
      <x:c r="B24" s="27" t="s">
        <x:v>69</x:v>
      </x:c>
      <x:c r="C24" s="76" t="b">
        <x:f>ISTEXT(B24)</x:f>
        <x:v>1</x:v>
      </x:c>
      <x:c r="D24" s="76" t="b">
        <x:f>ISNONTEXT(B24)</x:f>
        <x:v>0</x:v>
      </x:c>
      <x:c r="E24" s="77" t="str">
        <x:f>IF(ISTEXT(B24),"Valid Text ID","Review Type")</x:f>
        <x:v>Valid Text ID</x:v>
      </x:c>
      <x:c r="F24" s="4"/>
      <x:c r="G24" s="4"/>
      <x:c r="H24" s="4"/>
    </x:row>
    <x:row r="25" ht="17.549999237060547" customHeight="1">
      <x:c r="A25" s="30" t="s">
        <x:v>71</x:v>
      </x:c>
      <x:c r="B25" s="20" t="s">
        <x:v>73</x:v>
      </x:c>
      <x:c r="C25" s="86" t="b">
        <x:f>ISTEXT(B25)</x:f>
        <x:v>1</x:v>
      </x:c>
      <x:c r="D25" s="86" t="b">
        <x:f>ISNONTEXT(B25)</x:f>
        <x:v>0</x:v>
      </x:c>
      <x:c r="E25" s="87" t="str">
        <x:f>IF(ISTEXT(B25),"Valid Text ID","Review Type")</x:f>
        <x:v>Valid Text ID</x:v>
      </x:c>
      <x:c r="F25" s="4"/>
      <x:c r="G25" s="4"/>
      <x:c r="H25" s="4"/>
    </x:row>
    <x:row r="26" ht="17.549999237060547" customHeight="1">
      <x:c r="A26" s="30" t="s">
        <x:v>82</x:v>
      </x:c>
      <x:c r="B26" s="20" t="s">
        <x:v>84</x:v>
      </x:c>
      <x:c r="C26" s="86" t="b">
        <x:f>ISTEXT(B26)</x:f>
        <x:v>1</x:v>
      </x:c>
      <x:c r="D26" s="86" t="b">
        <x:f>ISNONTEXT(B26)</x:f>
        <x:v>0</x:v>
      </x:c>
      <x:c r="E26" s="87" t="str">
        <x:f>IF(ISTEXT(B26),"Valid Text ID","Review Type")</x:f>
        <x:v>Valid Text ID</x:v>
      </x:c>
      <x:c r="F26" s="4"/>
      <x:c r="G26" s="4"/>
      <x:c r="H26" s="4"/>
    </x:row>
    <x:row r="27" ht="17.549999237060547" customHeight="1">
      <x:c r="A27" s="30" t="s">
        <x:v>85</x:v>
      </x:c>
      <x:c r="B27" s="20">
        <x:v>66272</x:v>
      </x:c>
      <x:c r="C27" s="88"/>
      <x:c r="D27" s="88"/>
      <x:c r="E27" s="89"/>
      <x:c r="F27" s="4"/>
      <x:c r="G27" s="4"/>
      <x:c r="H27" s="4"/>
    </x:row>
    <x:row r="28" ht="17.549999237060547" customHeight="1">
      <x:c r="A28" s="30" t="s">
        <x:v>90</x:v>
      </x:c>
      <x:c r="B28" s="20" t="s">
        <x:v>92</x:v>
      </x:c>
      <x:c r="C28" s="88"/>
      <x:c r="D28" s="88"/>
      <x:c r="E28" s="89"/>
      <x:c r="F28" s="4"/>
      <x:c r="G28" s="4"/>
      <x:c r="H28" s="4"/>
    </x:row>
    <x:row r="29" ht="17.549999237060547" customHeight="1">
      <x:c r="A29" s="31" t="s">
        <x:v>99</x:v>
      </x:c>
      <x:c r="B29" s="23" t="s">
        <x:v>101</x:v>
      </x:c>
      <x:c r="C29" s="90"/>
      <x:c r="D29" s="90"/>
      <x:c r="E29" s="91"/>
      <x:c r="F29" s="4"/>
      <x:c r="G29" s="4"/>
      <x:c r="H29" s="4"/>
    </x:row>
    <x:row r="30" ht="17.549999237060547" customHeight="1">
      <x:c r="A30" s="34" t="s">
        <x:v>102</x:v>
      </x:c>
      <x:c r="B30" s="35">
        <x:v>33507</x:v>
      </x:c>
      <x:c r="C30" s="78"/>
      <x:c r="D30" s="78"/>
      <x:c r="E30" s="79"/>
      <x:c r="F30" s="4"/>
      <x:c r="G30" s="4"/>
      <x:c r="H30" s="4"/>
    </x:row>
    <x:row r="31" ht="17.549999237060547" customHeight="1">
      <x:c r="A31" s="34" t="s">
        <x:v>107</x:v>
      </x:c>
      <x:c r="B31" s="35" t="s">
        <x:v>109</x:v>
      </x:c>
      <x:c r="C31" s="78"/>
      <x:c r="D31" s="78"/>
      <x:c r="E31" s="79"/>
      <x:c r="F31" s="4"/>
      <x:c r="G31" s="4"/>
      <x:c r="H31" s="4"/>
    </x:row>
    <x:row r="32" ht="17.549999237060547" customHeight="1">
      <x:c r="A32" s="34" t="s">
        <x:v>119</x:v>
      </x:c>
      <x:c r="B32" s="35">
        <x:v>46677</x:v>
      </x:c>
      <x:c r="C32" s="78"/>
      <x:c r="D32" s="78"/>
      <x:c r="E32" s="79"/>
      <x:c r="F32" s="4"/>
      <x:c r="G32" s="4"/>
      <x:c r="H32" s="4"/>
    </x:row>
    <x:row r="33" ht="17.549999237060547" customHeight="1">
      <x:c r="A33" s="34" t="s">
        <x:v>121</x:v>
      </x:c>
      <x:c r="B33" s="35" t="s">
        <x:v>123</x:v>
      </x:c>
      <x:c r="C33" s="78"/>
      <x:c r="D33" s="78"/>
      <x:c r="E33" s="79"/>
      <x:c r="F33" s="4"/>
      <x:c r="G33" s="4"/>
      <x:c r="H33" s="4"/>
    </x:row>
    <x:row r="34" ht="17.549999237060547" customHeight="1">
      <x:c r="A34" s="34" t="s">
        <x:v>136</x:v>
      </x:c>
      <x:c r="B34" s="35">
        <x:v>44735</x:v>
      </x:c>
      <x:c r="C34" s="78"/>
      <x:c r="D34" s="78"/>
      <x:c r="E34" s="79"/>
      <x:c r="F34" s="4"/>
      <x:c r="G34" s="4"/>
      <x:c r="H34" s="4"/>
    </x:row>
    <x:row r="35" ht="17.549999237060547" customHeight="1">
      <x:c r="A35" s="34" t="s">
        <x:v>153</x:v>
      </x:c>
      <x:c r="B35" s="35">
        <x:v>53456</x:v>
      </x:c>
      <x:c r="C35" s="78"/>
      <x:c r="D35" s="78"/>
      <x:c r="E35" s="79"/>
      <x:c r="F35" s="4"/>
      <x:c r="G35" s="4"/>
      <x:c r="H35" s="4"/>
    </x:row>
    <x:row r="36" ht="17.549999237060547" customHeight="1">
      <x:c r="A36" s="34" t="s">
        <x:v>170</x:v>
      </x:c>
      <x:c r="B36" s="35">
        <x:v>60905</x:v>
      </x:c>
      <x:c r="C36" s="78"/>
      <x:c r="D36" s="78"/>
      <x:c r="E36" s="79"/>
      <x:c r="F36" s="4"/>
      <x:c r="G36" s="4"/>
      <x:c r="H36" s="4"/>
    </x:row>
    <x:row r="37" ht="17.549999237060547" customHeight="1">
      <x:c r="A37" s="34" t="s">
        <x:v>187</x:v>
      </x:c>
      <x:c r="B37" s="35">
        <x:v>79002</x:v>
      </x:c>
      <x:c r="C37" s="78"/>
      <x:c r="D37" s="78"/>
      <x:c r="E37" s="79"/>
      <x:c r="F37" s="4"/>
      <x:c r="G37" s="4"/>
      <x:c r="H37" s="4"/>
    </x:row>
    <x:row r="38" ht="17.549999237060547" customHeight="1">
      <x:c r="A38" s="34" t="s">
        <x:v>204</x:v>
      </x:c>
      <x:c r="B38" s="35">
        <x:v>84381</x:v>
      </x:c>
      <x:c r="C38" s="78"/>
      <x:c r="D38" s="78"/>
      <x:c r="E38" s="79"/>
      <x:c r="F38" s="4"/>
      <x:c r="G38" s="4"/>
      <x:c r="H38" s="4"/>
    </x:row>
    <x:row r="39" ht="17.549999237060547" customHeight="1">
      <x:c r="A39" s="34" t="s">
        <x:v>221</x:v>
      </x:c>
      <x:c r="B39" s="35">
        <x:v>48654</x:v>
      </x:c>
      <x:c r="C39" s="78"/>
      <x:c r="D39" s="78"/>
      <x:c r="E39" s="79"/>
      <x:c r="F39" s="4"/>
      <x:c r="G39" s="4"/>
      <x:c r="H39" s="4"/>
    </x:row>
    <x:row r="40" ht="17.549999237060547" customHeight="1">
      <x:c r="A40" s="36" t="s">
        <x:v>238</x:v>
      </x:c>
      <x:c r="B40" s="37">
        <x:v>32391</x:v>
      </x:c>
      <x:c r="C40" s="80"/>
      <x:c r="D40" s="80"/>
      <x:c r="E40" s="81"/>
      <x:c r="F40" s="4"/>
      <x:c r="G40" s="4"/>
      <x:c r="H40" s="4"/>
    </x:row>
    <x:row r="41">
      <x:c r="A41" s="4"/>
      <x:c r="B41" s="4"/>
      <x:c r="C41" s="4"/>
      <x:c r="D41" s="4"/>
      <x:c r="E41" s="4"/>
      <x:c r="F41" s="4"/>
      <x:c r="G41" s="4"/>
      <x:c r="H41" s="4"/>
    </x:row>
    <x:row r="42">
      <x:c r="A42" s="4"/>
      <x:c r="B42" s="4"/>
      <x:c r="C42" s="4"/>
      <x:c r="D42" s="4"/>
      <x:c r="E42" s="4"/>
      <x:c r="F42" s="4"/>
      <x:c r="G42" s="4"/>
      <x:c r="H42" s="4"/>
    </x:row>
    <x:row r="43">
      <x:c r="A43" s="4"/>
      <x:c r="B43" s="4"/>
      <x:c r="C43" s="4"/>
      <x:c r="D43" s="4"/>
      <x:c r="E43" s="4"/>
      <x:c r="F43" s="4"/>
      <x:c r="G43" s="4"/>
      <x:c r="H43" s="4"/>
    </x:row>
    <x:row r="44">
      <x:c r="A44" s="4"/>
      <x:c r="B44" s="4"/>
      <x:c r="C44" s="4"/>
      <x:c r="D44" s="4"/>
      <x:c r="E44" s="4"/>
      <x:c r="F44" s="4"/>
      <x:c r="G44" s="4"/>
      <x:c r="H44" s="4"/>
    </x:row>
    <x:row r="45">
      <x:c r="A45" s="4"/>
      <x:c r="B45" s="4"/>
      <x:c r="C45" s="4"/>
      <x:c r="D45" s="4"/>
      <x:c r="E45" s="4"/>
      <x:c r="F45" s="4"/>
      <x:c r="G45" s="4"/>
      <x:c r="H45" s="4"/>
    </x:row>
    <x:row r="46">
      <x:c r="A46" s="4"/>
      <x:c r="B46" s="4"/>
      <x:c r="C46" s="4"/>
      <x:c r="D46" s="4"/>
      <x:c r="E46" s="4"/>
      <x:c r="F46" s="4"/>
      <x:c r="G46" s="4"/>
      <x:c r="H46" s="4"/>
    </x:row>
    <x:row r="47">
      <x:c r="A47" s="4"/>
      <x:c r="B47" s="4"/>
      <x:c r="C47" s="4"/>
      <x:c r="D47" s="4"/>
      <x:c r="E47" s="4"/>
      <x:c r="F47" s="4"/>
      <x:c r="G47" s="4"/>
      <x:c r="H47" s="4"/>
    </x:row>
    <x:row r="48">
      <x:c r="A48" s="4"/>
      <x:c r="B48" s="4"/>
      <x:c r="C48" s="4"/>
      <x:c r="D48" s="4"/>
      <x:c r="E48" s="4"/>
      <x:c r="F48" s="4"/>
      <x:c r="G48" s="4"/>
      <x:c r="H48" s="4"/>
    </x:row>
  </x:sheetData>
  <x:mergeCells>
    <x:mergeCell ref="G11:H12"/>
    <x:mergeCell ref="G14:H15"/>
    <x:mergeCell ref="A18:D20"/>
    <x:mergeCell ref="E18:H20"/>
    <x:mergeCell ref="A1:H2"/>
    <x:mergeCell ref="A3:H3"/>
    <x:mergeCell ref="A5:H6"/>
    <x:mergeCell ref="A7:H8"/>
    <x:mergeCell ref="G10:H10"/>
  </x:mergeCells>
  <x:conditionalFormatting sqref="E24:E40">
    <x:cfRule type="expression" dxfId="2" priority="1">
      <x:formula>E24="Review Type"</x:formula>
    </x:cfRule>
  </x:conditionalFormatting>
  <x:dataValidations count="5">
    <x:dataValidation allowBlank="1" showInputMessage="1" promptTitle="Order ID | رقم الطلب" prompt="Service order identifier._x000a_رقم طلب الخدمة." sqref="A23"/>
    <x:dataValidation allowBlank="1" showInputMessage="1" promptTitle="Account Reference | مرجع الحساب" prompt="Value to validate; some rows are intentionally numeric._x000a_القيمة المطلوب فحصها وبعض الصفوف أرقام بشكل مقصود." sqref="B23"/>
    <x:dataValidation allowBlank="1" showInputMessage="1" promptTitle="ISTEXT | هل هي Text؟" prompt="TRUE when Excel stores the value as text._x000a_TRUE إذا كانت القيمة مخزنة كنص." sqref="C23"/>
    <x:dataValidation allowBlank="1" showInputMessage="1" promptTitle="ISNONTEXT | ليست Text؟" prompt="TRUE when the value is not text._x000a_TRUE إذا لم تكن القيمة نصاً." sqref="D23"/>
    <x:dataValidation allowBlank="1" showInputMessage="1" promptTitle="Quality Flag | مؤشر الجودة" prompt="Business-friendly flag built from the type test._x000a_نتيجة مفهومة للعمل مبنية على فحص النوع." sqref="E23"/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3.800000190734863"/>
  <x:cols>
    <x:col min="1" max="1" width="14" customWidth="1"/>
    <x:col min="2" max="4" width="15" customWidth="1"/>
    <x:col min="5" max="5" width="11" customWidth="1"/>
    <x:col min="6" max="6" width="27" customWidth="1"/>
    <x:col min="7" max="7" width="24" customWidth="1"/>
    <x:col min="8" max="8" width="18" customWidth="1"/>
    <x:col min="9" max="9" width="4" customWidth="1"/>
    <x:col min="10" max="10" width="22" customWidth="1"/>
  </x:cols>
  <x:sheetData>
    <x:row r="1">
      <x:c r="A1" s="169" t="s">
        <x:v>293</x:v>
      </x:c>
      <x:c r="B1" s="169"/>
      <x:c r="C1" s="169"/>
      <x:c r="D1" s="169"/>
      <x:c r="E1" s="169"/>
      <x:c r="F1" s="169"/>
      <x:c r="G1" s="169"/>
      <x:c r="H1" s="169"/>
      <x:c r="I1" s="169"/>
      <x:c r="J1" s="169"/>
    </x:row>
    <x:row r="2">
      <x:c r="A2" s="169"/>
      <x:c r="B2" s="169"/>
      <x:c r="C2" s="169"/>
      <x:c r="D2" s="169"/>
      <x:c r="E2" s="169"/>
      <x:c r="F2" s="169"/>
      <x:c r="G2" s="169"/>
      <x:c r="H2" s="169"/>
      <x:c r="I2" s="169"/>
      <x:c r="J2" s="169"/>
    </x:row>
    <x:row r="3">
      <x:c r="A3" s="294" t="s">
        <x:v>294</x:v>
      </x:c>
      <x:c r="B3" s="111"/>
      <x:c r="C3" s="111"/>
      <x:c r="D3" s="111"/>
      <x:c r="E3" s="111"/>
      <x:c r="F3" s="111"/>
      <x:c r="G3" s="111"/>
      <x:c r="H3" s="111"/>
      <x:c r="I3" s="111"/>
      <x:c r="J3" s="111"/>
    </x:row>
    <x:row r="4" ht="4.800000190734863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</x:row>
    <x:row r="5">
      <x:c r="A5" s="153" t="s">
        <x:v>295</x:v>
      </x:c>
      <x:c r="B5" s="154"/>
      <x:c r="C5" s="154"/>
      <x:c r="D5" s="154"/>
      <x:c r="E5" s="154"/>
      <x:c r="F5" s="154"/>
      <x:c r="G5" s="154"/>
      <x:c r="H5" s="154"/>
      <x:c r="I5" s="154"/>
      <x:c r="J5" s="154"/>
    </x:row>
    <x:row r="6">
      <x:c r="A6" s="153"/>
      <x:c r="B6" s="154"/>
      <x:c r="C6" s="154"/>
      <x:c r="D6" s="154"/>
      <x:c r="E6" s="154"/>
      <x:c r="F6" s="154"/>
      <x:c r="G6" s="154"/>
      <x:c r="H6" s="154"/>
      <x:c r="I6" s="154"/>
      <x:c r="J6" s="154"/>
    </x:row>
    <x:row r="7" ht="19.200000762939453" customHeight="1">
      <x:c r="A7" s="298" t="s">
        <x:v>296</x:v>
      </x:c>
      <x:c r="B7" s="176"/>
      <x:c r="C7" s="176"/>
      <x:c r="D7" s="176"/>
      <x:c r="E7" s="176"/>
      <x:c r="F7" s="176"/>
      <x:c r="G7" s="176"/>
      <x:c r="H7" s="176"/>
      <x:c r="I7" s="176"/>
      <x:c r="J7" s="177"/>
    </x:row>
    <x:row r="8" ht="19.200000762939453" customHeight="1">
      <x:c r="A8" s="176"/>
      <x:c r="B8" s="176"/>
      <x:c r="C8" s="176"/>
      <x:c r="D8" s="176"/>
      <x:c r="E8" s="176"/>
      <x:c r="F8" s="176"/>
      <x:c r="G8" s="176"/>
      <x:c r="H8" s="176"/>
      <x:c r="I8" s="176"/>
      <x:c r="J8" s="177"/>
    </x:row>
    <x:row r="9">
      <x:c r="A9" s="9"/>
      <x:c r="B9" s="10"/>
      <x:c r="C9" s="10"/>
      <x:c r="D9" s="10"/>
      <x:c r="E9" s="10"/>
      <x:c r="F9" s="10"/>
      <x:c r="G9" s="10"/>
      <x:c r="H9" s="11"/>
      <x:c r="I9" s="4"/>
      <x:c r="J9" s="92"/>
    </x:row>
    <x:row r="10">
      <x:c r="A10" s="16" t="s">
        <x:v>297</x:v>
      </x:c>
      <x:c r="B10" s="56" t="s">
        <x:v>298</x:v>
      </x:c>
      <x:c r="C10" s="56" t="s">
        <x:v>299</x:v>
      </x:c>
      <x:c r="D10" s="93" t="s">
        <x:v>300</x:v>
      </x:c>
      <x:c r="E10" s="52"/>
      <x:c r="F10" s="222" t="s">
        <x:v>301</x:v>
      </x:c>
      <x:c r="G10" s="222"/>
      <x:c r="H10" s="223"/>
      <x:c r="I10" s="114"/>
      <x:c r="J10" s="224"/>
    </x:row>
    <x:row r="11">
      <x:c r="A11" s="95">
        <x:v>46044</x:v>
      </x:c>
      <x:c r="B11" s="94">
        <x:v>46048</x:v>
      </x:c>
      <x:c r="C11" s="96">
        <x:v>4</x:v>
      </x:c>
      <x:c r="D11" s="97">
        <x:v>3</x:v>
      </x:c>
      <x:c r="E11" s="3"/>
      <x:c r="F11" s="98" t="s">
        <x:v>302</x:v>
      </x:c>
      <x:c r="G11" s="6" t="s">
        <x:v>303</x:v>
      </x:c>
      <x:c r="H11" s="196" t="s">
        <x:v>304</x:v>
      </x:c>
      <x:c r="I11" s="197"/>
      <x:c r="J11" s="197"/>
    </x:row>
    <x:row r="12">
      <x:c r="A12" s="53"/>
      <x:c r="B12" s="54"/>
      <x:c r="C12" s="54"/>
      <x:c r="D12" s="54"/>
      <x:c r="E12" s="3"/>
      <x:c r="F12" s="99" t="s">
        <x:v>305</x:v>
      </x:c>
      <x:c r="G12" s="7" t="s">
        <x:v>306</x:v>
      </x:c>
      <x:c r="H12" s="196"/>
      <x:c r="I12" s="197"/>
      <x:c r="J12" s="197"/>
    </x:row>
    <x:row r="13" ht="24">
      <x:c r="A13" s="220" t="s">
        <x:v>307</x:v>
      </x:c>
      <x:c r="B13" s="221"/>
      <x:c r="C13" s="221"/>
      <x:c r="D13" s="221"/>
      <x:c r="E13" s="3"/>
      <x:c r="F13" s="99" t="s">
        <x:v>308</x:v>
      </x:c>
      <x:c r="G13" s="7" t="s">
        <x:v>309</x:v>
      </x:c>
      <x:c r="H13" s="196"/>
      <x:c r="I13" s="197"/>
      <x:c r="J13" s="197"/>
    </x:row>
    <x:row r="14" ht="24">
      <x:c r="A14" s="220"/>
      <x:c r="B14" s="221"/>
      <x:c r="C14" s="221"/>
      <x:c r="D14" s="221"/>
      <x:c r="E14" s="3"/>
      <x:c r="F14" s="100" t="s">
        <x:v>310</x:v>
      </x:c>
      <x:c r="G14" s="8" t="s">
        <x:v>311</x:v>
      </x:c>
      <x:c r="H14" s="196"/>
      <x:c r="I14" s="197"/>
      <x:c r="J14" s="197"/>
    </x:row>
    <x:row r="15">
      <x:c r="A15" s="53"/>
      <x:c r="B15" s="54"/>
      <x:c r="C15" s="54"/>
      <x:c r="D15" s="54"/>
      <x:c r="E15" s="3"/>
      <x:c r="F15" s="3"/>
      <x:c r="G15" s="3"/>
      <x:c r="H15" s="55"/>
      <x:c r="I15" s="4"/>
      <x:c r="J15" s="4"/>
    </x:row>
    <x:row r="16">
      <x:c r="A16" s="53"/>
      <x:c r="B16" s="54"/>
      <x:c r="C16" s="54"/>
      <x:c r="D16" s="54"/>
      <x:c r="E16" s="3"/>
      <x:c r="F16" s="3"/>
      <x:c r="G16" s="3"/>
      <x:c r="H16" s="55"/>
      <x:c r="I16" s="4"/>
      <x:c r="J16" s="4"/>
    </x:row>
    <x:row r="17" ht="17.549999237060547" customHeight="1">
      <x:c r="A17" s="16" t="s">
        <x:v>60</x:v>
      </x:c>
      <x:c r="B17" s="56" t="s">
        <x:v>297</x:v>
      </x:c>
      <x:c r="C17" s="56" t="s">
        <x:v>312</x:v>
      </x:c>
      <x:c r="D17" s="56" t="s">
        <x:v>298</x:v>
      </x:c>
      <x:c r="E17" s="17" t="s">
        <x:v>313</x:v>
      </x:c>
      <x:c r="F17" s="17" t="s">
        <x:v>314</x:v>
      </x:c>
      <x:c r="G17" s="17" t="s">
        <x:v>300</x:v>
      </x:c>
      <x:c r="H17" s="19" t="s">
        <x:v>315</x:v>
      </x:c>
      <x:c r="I17" s="4"/>
      <x:c r="J17" s="113" t="s">
        <x:v>308</x:v>
      </x:c>
    </x:row>
    <x:row r="18" ht="17.549999237060547" customHeight="1">
      <x:c r="A18" s="26" t="s">
        <x:v>67</x:v>
      </x:c>
      <x:c r="B18" s="57">
        <x:v>46044</x:v>
      </x:c>
      <x:c r="C18" s="57">
        <x:v>46049</x:v>
      </x:c>
      <x:c r="D18" s="57">
        <x:v>46048</x:v>
      </x:c>
      <x:c r="E18" s="76" t="n">
        <x:f>YEAR(B18)</x:f>
        <x:v>2026</x:v>
      </x:c>
      <x:c r="F18" s="76" t="str">
        <x:f>TEXT(B18,"mmm")</x:f>
        <x:v>Jan</x:v>
      </x:c>
      <x:c r="G18" s="101" t="n">
        <x:f>NETWORKDAYS(B18,D18)</x:f>
        <x:v>3</x:v>
      </x:c>
      <x:c r="H18" s="77" t="str">
        <x:f>IF(D18&lt;=C18,"On Time","Late")</x:f>
        <x:v>On Time</x:v>
      </x:c>
      <x:c r="I18" s="4"/>
      <x:c r="J18" s="113"/>
    </x:row>
    <x:row r="19" ht="17.549999237060547" customHeight="1">
      <x:c r="A19" s="30" t="s">
        <x:v>71</x:v>
      </x:c>
      <x:c r="B19" s="59">
        <x:v>46173</x:v>
      </x:c>
      <x:c r="C19" s="59">
        <x:v>46184</x:v>
      </x:c>
      <x:c r="D19" s="59">
        <x:v>46183</x:v>
      </x:c>
      <x:c r="E19" s="86" t="n">
        <x:f>YEAR(B19)</x:f>
        <x:v>2026</x:v>
      </x:c>
      <x:c r="F19" s="86" t="str">
        <x:f>TEXT(B19,"mmm")</x:f>
        <x:v>May</x:v>
      </x:c>
      <x:c r="G19" s="102" t="n">
        <x:f>NETWORKDAYS(B19,D19)</x:f>
        <x:v>8</x:v>
      </x:c>
      <x:c r="H19" s="87" t="str">
        <x:f>IF(D19&lt;=C19,"On Time","Late")</x:f>
        <x:v>On Time</x:v>
      </x:c>
      <x:c r="I19" s="4"/>
      <x:c r="J19" s="107" t="n">
        <x:f ca="1">TODAY()</x:f>
        <x:v>46270</x:v>
      </x:c>
    </x:row>
    <x:row r="20" ht="17.549999237060547" customHeight="1">
      <x:c r="A20" s="30" t="s">
        <x:v>75</x:v>
      </x:c>
      <x:c r="B20" s="59">
        <x:v>46085</x:v>
      </x:c>
      <x:c r="C20" s="59">
        <x:v>46087</x:v>
      </x:c>
      <x:c r="D20" s="59">
        <x:v>46091</x:v>
      </x:c>
      <x:c r="E20" s="86" t="n">
        <x:f>YEAR(B20)</x:f>
        <x:v>2026</x:v>
      </x:c>
      <x:c r="F20" s="86" t="str">
        <x:f>TEXT(B20,"mmm")</x:f>
        <x:v>Mar</x:v>
      </x:c>
      <x:c r="G20" s="102" t="n">
        <x:f>NETWORKDAYS(B20,D20)</x:f>
        <x:v>5</x:v>
      </x:c>
      <x:c r="H20" s="87" t="str">
        <x:f>IF(D20&lt;=C20,"On Time","Late")</x:f>
        <x:v>Late</x:v>
      </x:c>
      <x:c r="I20" s="4"/>
      <x:c r="J20" s="4"/>
    </x:row>
    <x:row r="21" ht="17.549999237060547" customHeight="1">
      <x:c r="A21" s="30" t="s">
        <x:v>79</x:v>
      </x:c>
      <x:c r="B21" s="59">
        <x:v>46193</x:v>
      </x:c>
      <x:c r="C21" s="59">
        <x:v>46205</x:v>
      </x:c>
      <x:c r="D21" s="59">
        <x:v>46205</x:v>
      </x:c>
      <x:c r="E21" s="88"/>
      <x:c r="F21" s="88"/>
      <x:c r="G21" s="103"/>
      <x:c r="H21" s="89"/>
      <x:c r="I21" s="4"/>
      <x:c r="J21" s="225" t="s">
        <x:v>316</x:v>
      </x:c>
    </x:row>
    <x:row r="22" ht="17.549999237060547" customHeight="1">
      <x:c r="A22" s="30" t="s">
        <x:v>82</x:v>
      </x:c>
      <x:c r="B22" s="59">
        <x:v>46150</x:v>
      </x:c>
      <x:c r="C22" s="59">
        <x:v>46156</x:v>
      </x:c>
      <x:c r="D22" s="59">
        <x:v>46158</x:v>
      </x:c>
      <x:c r="E22" s="88"/>
      <x:c r="F22" s="88"/>
      <x:c r="G22" s="103"/>
      <x:c r="H22" s="89"/>
      <x:c r="I22" s="4"/>
      <x:c r="J22" s="225"/>
    </x:row>
    <x:row r="23" ht="17.549999237060547" customHeight="1">
      <x:c r="A23" s="30" t="s">
        <x:v>85</x:v>
      </x:c>
      <x:c r="B23" s="59">
        <x:v>46220</x:v>
      </x:c>
      <x:c r="C23" s="59">
        <x:v>46221</x:v>
      </x:c>
      <x:c r="D23" s="59">
        <x:v>46224</x:v>
      </x:c>
      <x:c r="E23" s="88"/>
      <x:c r="F23" s="88"/>
      <x:c r="G23" s="103"/>
      <x:c r="H23" s="89"/>
      <x:c r="I23" s="4"/>
      <x:c r="J23" s="225"/>
    </x:row>
    <x:row r="24" ht="17.549999237060547" customHeight="1">
      <x:c r="A24" s="30" t="s">
        <x:v>87</x:v>
      </x:c>
      <x:c r="B24" s="59">
        <x:v>46205</x:v>
      </x:c>
      <x:c r="C24" s="59">
        <x:v>46215</x:v>
      </x:c>
      <x:c r="D24" s="59">
        <x:v>46214</x:v>
      </x:c>
      <x:c r="E24" s="88"/>
      <x:c r="F24" s="88"/>
      <x:c r="G24" s="103"/>
      <x:c r="H24" s="89"/>
      <x:c r="I24" s="4"/>
      <x:c r="J24" s="225"/>
    </x:row>
    <x:row r="25" ht="17.549999237060547" customHeight="1">
      <x:c r="A25" s="30" t="s">
        <x:v>90</x:v>
      </x:c>
      <x:c r="B25" s="59">
        <x:v>46150</x:v>
      </x:c>
      <x:c r="C25" s="59">
        <x:v>46160</x:v>
      </x:c>
      <x:c r="D25" s="59">
        <x:v>46160</x:v>
      </x:c>
      <x:c r="E25" s="88"/>
      <x:c r="F25" s="88"/>
      <x:c r="G25" s="103"/>
      <x:c r="H25" s="89"/>
      <x:c r="I25" s="4"/>
      <x:c r="J25" s="4"/>
    </x:row>
    <x:row r="26" ht="17.549999237060547" customHeight="1">
      <x:c r="A26" s="30" t="s">
        <x:v>93</x:v>
      </x:c>
      <x:c r="B26" s="59">
        <x:v>46081</x:v>
      </x:c>
      <x:c r="C26" s="59">
        <x:v>46093</x:v>
      </x:c>
      <x:c r="D26" s="59">
        <x:v>46091</x:v>
      </x:c>
      <x:c r="E26" s="88"/>
      <x:c r="F26" s="88"/>
      <x:c r="G26" s="103"/>
      <x:c r="H26" s="89"/>
      <x:c r="I26" s="4"/>
      <x:c r="J26" s="4"/>
    </x:row>
    <x:row r="27" ht="17.549999237060547" customHeight="1">
      <x:c r="A27" s="30" t="s">
        <x:v>96</x:v>
      </x:c>
      <x:c r="B27" s="59">
        <x:v>46116</x:v>
      </x:c>
      <x:c r="C27" s="59">
        <x:v>46123</x:v>
      </x:c>
      <x:c r="D27" s="59">
        <x:v>46123</x:v>
      </x:c>
      <x:c r="E27" s="88"/>
      <x:c r="F27" s="88"/>
      <x:c r="G27" s="103"/>
      <x:c r="H27" s="89"/>
      <x:c r="I27" s="4"/>
      <x:c r="J27" s="4"/>
    </x:row>
    <x:row r="28" ht="17.549999237060547" customHeight="1">
      <x:c r="A28" s="30" t="s">
        <x:v>99</x:v>
      </x:c>
      <x:c r="B28" s="59">
        <x:v>46105</x:v>
      </x:c>
      <x:c r="C28" s="59">
        <x:v>46109</x:v>
      </x:c>
      <x:c r="D28" s="59">
        <x:v>46113</x:v>
      </x:c>
      <x:c r="E28" s="88"/>
      <x:c r="F28" s="88"/>
      <x:c r="G28" s="103"/>
      <x:c r="H28" s="89"/>
      <x:c r="I28" s="4"/>
      <x:c r="J28" s="4"/>
    </x:row>
    <x:row r="29" ht="17.549999237060547" customHeight="1">
      <x:c r="A29" s="31" t="s">
        <x:v>102</x:v>
      </x:c>
      <x:c r="B29" s="61">
        <x:v>46151</x:v>
      </x:c>
      <x:c r="C29" s="61">
        <x:v>46162</x:v>
      </x:c>
      <x:c r="D29" s="61">
        <x:v>46160</x:v>
      </x:c>
      <x:c r="E29" s="90"/>
      <x:c r="F29" s="90"/>
      <x:c r="G29" s="104"/>
      <x:c r="H29" s="91"/>
      <x:c r="I29" s="4"/>
      <x:c r="J29" s="4"/>
    </x:row>
    <x:row r="30" ht="17.549999237060547" customHeight="1">
      <x:c r="A30" s="34" t="s">
        <x:v>104</x:v>
      </x:c>
      <x:c r="B30" s="63">
        <x:v>46040</x:v>
      </x:c>
      <x:c r="C30" s="63">
        <x:v>46048</x:v>
      </x:c>
      <x:c r="D30" s="63">
        <x:v>46050</x:v>
      </x:c>
      <x:c r="E30" s="78"/>
      <x:c r="F30" s="78"/>
      <x:c r="G30" s="105"/>
      <x:c r="H30" s="79"/>
      <x:c r="I30" s="4"/>
      <x:c r="J30" s="4"/>
    </x:row>
    <x:row r="31" ht="17.549999237060547" customHeight="1">
      <x:c r="A31" s="34" t="s">
        <x:v>107</x:v>
      </x:c>
      <x:c r="B31" s="63">
        <x:v>46117</x:v>
      </x:c>
      <x:c r="C31" s="63">
        <x:v>46121</x:v>
      </x:c>
      <x:c r="D31" s="63">
        <x:v>46123</x:v>
      </x:c>
      <x:c r="E31" s="78"/>
      <x:c r="F31" s="78"/>
      <x:c r="G31" s="105"/>
      <x:c r="H31" s="79"/>
      <x:c r="I31" s="4"/>
      <x:c r="J31" s="4"/>
    </x:row>
    <x:row r="32" ht="17.549999237060547" customHeight="1">
      <x:c r="A32" s="34" t="s">
        <x:v>110</x:v>
      </x:c>
      <x:c r="B32" s="63">
        <x:v>46117</x:v>
      </x:c>
      <x:c r="C32" s="63">
        <x:v>46127</x:v>
      </x:c>
      <x:c r="D32" s="63">
        <x:v>46132</x:v>
      </x:c>
      <x:c r="E32" s="78"/>
      <x:c r="F32" s="78"/>
      <x:c r="G32" s="105"/>
      <x:c r="H32" s="79"/>
      <x:c r="I32" s="4"/>
      <x:c r="J32" s="4"/>
    </x:row>
    <x:row r="33" ht="17.549999237060547" customHeight="1">
      <x:c r="A33" s="34" t="s">
        <x:v>113</x:v>
      </x:c>
      <x:c r="B33" s="63">
        <x:v>46024</x:v>
      </x:c>
      <x:c r="C33" s="63">
        <x:v>46031</x:v>
      </x:c>
      <x:c r="D33" s="63">
        <x:v>46029</x:v>
      </x:c>
      <x:c r="E33" s="78"/>
      <x:c r="F33" s="78"/>
      <x:c r="G33" s="105"/>
      <x:c r="H33" s="79"/>
      <x:c r="I33" s="4"/>
      <x:c r="J33" s="4"/>
    </x:row>
    <x:row r="34" ht="17.549999237060547" customHeight="1">
      <x:c r="A34" s="34" t="s">
        <x:v>116</x:v>
      </x:c>
      <x:c r="B34" s="63">
        <x:v>46023</x:v>
      </x:c>
      <x:c r="C34" s="63">
        <x:v>46034</x:v>
      </x:c>
      <x:c r="D34" s="63">
        <x:v>46038</x:v>
      </x:c>
      <x:c r="E34" s="78"/>
      <x:c r="F34" s="78"/>
      <x:c r="G34" s="105"/>
      <x:c r="H34" s="79"/>
      <x:c r="I34" s="4"/>
      <x:c r="J34" s="4"/>
    </x:row>
    <x:row r="35" ht="17.549999237060547" customHeight="1">
      <x:c r="A35" s="34" t="s">
        <x:v>119</x:v>
      </x:c>
      <x:c r="B35" s="63">
        <x:v>46148</x:v>
      </x:c>
      <x:c r="C35" s="63">
        <x:v>46149</x:v>
      </x:c>
      <x:c r="D35" s="63">
        <x:v>46149</x:v>
      </x:c>
      <x:c r="E35" s="78"/>
      <x:c r="F35" s="78"/>
      <x:c r="G35" s="105"/>
      <x:c r="H35" s="79"/>
      <x:c r="I35" s="4"/>
      <x:c r="J35" s="4"/>
    </x:row>
    <x:row r="36" ht="17.549999237060547" customHeight="1">
      <x:c r="A36" s="34" t="s">
        <x:v>121</x:v>
      </x:c>
      <x:c r="B36" s="63">
        <x:v>46202</x:v>
      </x:c>
      <x:c r="C36" s="63">
        <x:v>46208</x:v>
      </x:c>
      <x:c r="D36" s="63">
        <x:v>46213</x:v>
      </x:c>
      <x:c r="E36" s="78"/>
      <x:c r="F36" s="78"/>
      <x:c r="G36" s="105"/>
      <x:c r="H36" s="79"/>
      <x:c r="I36" s="4"/>
      <x:c r="J36" s="4"/>
    </x:row>
    <x:row r="37" ht="17.549999237060547" customHeight="1">
      <x:c r="A37" s="36" t="s">
        <x:v>124</x:v>
      </x:c>
      <x:c r="B37" s="64">
        <x:v>46042</x:v>
      </x:c>
      <x:c r="C37" s="64">
        <x:v>46052</x:v>
      </x:c>
      <x:c r="D37" s="64">
        <x:v>46050</x:v>
      </x:c>
      <x:c r="E37" s="80"/>
      <x:c r="F37" s="80"/>
      <x:c r="G37" s="106"/>
      <x:c r="H37" s="81"/>
      <x:c r="I37" s="4"/>
      <x:c r="J37" s="4"/>
    </x:row>
    <x:row r="38">
      <x:c r="A38" s="4"/>
      <x:c r="B38" s="4"/>
      <x:c r="C38" s="4"/>
      <x:c r="D38" s="4"/>
      <x:c r="E38" s="4"/>
      <x:c r="F38" s="4"/>
      <x:c r="G38" s="4"/>
      <x:c r="H38" s="4"/>
      <x:c r="I38" s="4"/>
      <x:c r="J38" s="4"/>
    </x:row>
    <x:row r="39">
      <x:c r="A39" s="4"/>
      <x:c r="B39" s="4"/>
      <x:c r="C39" s="4"/>
      <x:c r="D39" s="4"/>
      <x:c r="E39" s="4"/>
      <x:c r="F39" s="4"/>
      <x:c r="G39" s="4"/>
      <x:c r="H39" s="4"/>
      <x:c r="I39" s="4"/>
      <x:c r="J39" s="4"/>
    </x:row>
    <x:row r="40">
      <x:c r="A40" s="4"/>
      <x:c r="B40" s="4"/>
      <x:c r="C40" s="4"/>
      <x:c r="D40" s="4"/>
      <x:c r="E40" s="4"/>
      <x:c r="F40" s="4"/>
      <x:c r="G40" s="4"/>
      <x:c r="H40" s="4"/>
      <x:c r="I40" s="4"/>
      <x:c r="J40" s="4"/>
    </x:row>
    <x:row r="41">
      <x:c r="A41" s="4"/>
      <x:c r="B41" s="4"/>
      <x:c r="C41" s="4"/>
      <x:c r="D41" s="4"/>
      <x:c r="E41" s="4"/>
      <x:c r="F41" s="4"/>
      <x:c r="G41" s="4"/>
      <x:c r="H41" s="4"/>
      <x:c r="I41" s="4"/>
      <x:c r="J41" s="4"/>
    </x:row>
    <x:row r="42">
      <x:c r="A42" s="4"/>
      <x:c r="B42" s="4"/>
      <x:c r="C42" s="4"/>
      <x:c r="D42" s="4"/>
      <x:c r="E42" s="4"/>
      <x:c r="F42" s="4"/>
      <x:c r="G42" s="4"/>
      <x:c r="H42" s="4"/>
      <x:c r="I42" s="4"/>
      <x:c r="J42" s="4"/>
    </x:row>
    <x:row r="43">
      <x:c r="A43" s="4"/>
      <x:c r="B43" s="4"/>
      <x:c r="C43" s="4"/>
      <x:c r="D43" s="4"/>
      <x:c r="E43" s="4"/>
      <x:c r="F43" s="4"/>
      <x:c r="G43" s="4"/>
      <x:c r="H43" s="4"/>
      <x:c r="I43" s="4"/>
      <x:c r="J43" s="4"/>
    </x:row>
    <x:row r="44">
      <x:c r="A44" s="4"/>
      <x:c r="B44" s="4"/>
      <x:c r="C44" s="4"/>
      <x:c r="D44" s="4"/>
      <x:c r="E44" s="4"/>
      <x:c r="F44" s="4"/>
      <x:c r="G44" s="4"/>
      <x:c r="H44" s="4"/>
      <x:c r="I44" s="4"/>
      <x:c r="J44" s="4"/>
    </x:row>
    <x:row r="45">
      <x:c r="A45" s="4"/>
      <x:c r="B45" s="4"/>
      <x:c r="C45" s="4"/>
      <x:c r="D45" s="4"/>
      <x:c r="E45" s="4"/>
      <x:c r="F45" s="4"/>
      <x:c r="G45" s="4"/>
      <x:c r="H45" s="4"/>
      <x:c r="I45" s="4"/>
      <x:c r="J45" s="4"/>
    </x:row>
    <x:row r="46">
      <x:c r="A46" s="4"/>
      <x:c r="B46" s="4"/>
      <x:c r="C46" s="4"/>
      <x:c r="D46" s="4"/>
      <x:c r="E46" s="4"/>
      <x:c r="F46" s="4"/>
      <x:c r="G46" s="4"/>
      <x:c r="H46" s="4"/>
      <x:c r="I46" s="4"/>
      <x:c r="J46" s="4"/>
    </x:row>
    <x:row r="47">
      <x:c r="A47" s="4"/>
      <x:c r="B47" s="4"/>
      <x:c r="C47" s="4"/>
      <x:c r="D47" s="4"/>
      <x:c r="E47" s="4"/>
      <x:c r="F47" s="4"/>
      <x:c r="G47" s="4"/>
      <x:c r="H47" s="4"/>
      <x:c r="I47" s="4"/>
      <x:c r="J47" s="4"/>
    </x:row>
    <x:row r="48">
      <x:c r="A48" s="4"/>
      <x:c r="B48" s="4"/>
      <x:c r="C48" s="4"/>
      <x:c r="D48" s="4"/>
      <x:c r="E48" s="4"/>
      <x:c r="F48" s="4"/>
      <x:c r="G48" s="4"/>
      <x:c r="H48" s="4"/>
      <x:c r="I48" s="4"/>
      <x:c r="J48" s="4"/>
    </x:row>
    <x:row r="49">
      <x:c r="A49" s="4"/>
      <x:c r="B49" s="4"/>
      <x:c r="C49" s="4"/>
      <x:c r="D49" s="4"/>
      <x:c r="E49" s="4"/>
      <x:c r="F49" s="4"/>
      <x:c r="G49" s="4"/>
      <x:c r="H49" s="4"/>
      <x:c r="I49" s="4"/>
      <x:c r="J49" s="4"/>
    </x:row>
    <x:row r="50">
      <x:c r="A50" s="4"/>
      <x:c r="B50" s="4"/>
      <x:c r="C50" s="4"/>
      <x:c r="D50" s="4"/>
      <x:c r="E50" s="4"/>
      <x:c r="F50" s="4"/>
      <x:c r="G50" s="4"/>
      <x:c r="H50" s="4"/>
      <x:c r="I50" s="4"/>
      <x:c r="J50" s="4"/>
    </x:row>
  </x:sheetData>
  <x:mergeCells>
    <x:mergeCell ref="J17:J18"/>
    <x:mergeCell ref="J21:J24"/>
    <x:mergeCell ref="A1:J2"/>
    <x:mergeCell ref="A3:J3"/>
    <x:mergeCell ref="A5:J6"/>
    <x:mergeCell ref="A7:J8"/>
    <x:mergeCell ref="A13:D14"/>
    <x:mergeCell ref="F10:J10"/>
    <x:mergeCell ref="H11:J14"/>
  </x:mergeCells>
  <x:conditionalFormatting sqref="H18:H37">
    <x:cfRule type="expression" dxfId="1" priority="1">
      <x:formula>H18="Late"</x:formula>
    </x:cfRule>
    <x:cfRule type="expression" dxfId="0" priority="2">
      <x:formula>H18="On Time"</x:formula>
    </x:cfRule>
  </x:conditionalFormatting>
  <x:dataValidations count="8">
    <x:dataValidation allowBlank="1" showInputMessage="1" promptTitle="Order ID | رقم الطلب" prompt="Service order identifier._x000a_رقم طلب الخدمة." sqref="A17"/>
    <x:dataValidation allowBlank="1" showInputMessage="1" promptTitle="Start | البداية" prompt="Order start date._x000a_تاريخ بدء الطلب." sqref="B17"/>
    <x:dataValidation allowBlank="1" showInputMessage="1" promptTitle="Due | الاستحقاق" prompt="Committed due date._x000a_تاريخ الاستحقاق." sqref="C17"/>
    <x:dataValidation allowBlank="1" showInputMessage="1" promptTitle="Close | الإغلاق" prompt="Actual close date._x000a_تاريخ الإغلاق الفعلي." sqref="D17"/>
    <x:dataValidation allowBlank="1" showInputMessage="1" promptTitle="Year | السنة" prompt="Reporting year from Start Date._x000a_سنة التقرير من تاريخ البداية." sqref="E17"/>
    <x:dataValidation allowBlank="1" showInputMessage="1" promptTitle="Month | الشهر" prompt="Month label from Start Date._x000a_اسم الشهر من تاريخ البداية." sqref="F17"/>
    <x:dataValidation allowBlank="1" showInputMessage="1" promptTitle="Business Days | أيام العمل" prompt="Working days from Start to Close._x000a_أيام العمل من البداية حتى الإغلاق." sqref="G17"/>
    <x:dataValidation allowBlank="1" showInputMessage="1" promptTitle="SLA Status | حالة SLA" prompt="Compare actual Close Date to Due Date._x000a_قارن تاريخ الإغلاق الفعلي بتاريخ الاستحقاق." sqref="H17"/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3.800000190734863"/>
  <x:cols>
    <x:col min="1" max="1" width="6" customWidth="1"/>
    <x:col min="2" max="2" width="48" customWidth="1"/>
    <x:col min="3" max="3" width="25" customWidth="1"/>
    <x:col min="4" max="4" width="18" customWidth="1"/>
    <x:col min="5" max="5" width="4" customWidth="1"/>
    <x:col min="6" max="8" width="22" customWidth="1"/>
  </x:cols>
  <x:sheetData>
    <x:row r="1">
      <x:c r="A1" s="152" t="s">
        <x:v>317</x:v>
      </x:c>
      <x:c r="B1" s="152"/>
      <x:c r="C1" s="152"/>
      <x:c r="D1" s="152"/>
      <x:c r="E1" s="152"/>
      <x:c r="F1" s="152"/>
      <x:c r="G1" s="152"/>
      <x:c r="H1" s="152"/>
    </x:row>
    <x:row r="2">
      <x:c r="A2" s="152"/>
      <x:c r="B2" s="152"/>
      <x:c r="C2" s="152"/>
      <x:c r="D2" s="152"/>
      <x:c r="E2" s="152"/>
      <x:c r="F2" s="152"/>
      <x:c r="G2" s="152"/>
      <x:c r="H2" s="152"/>
    </x:row>
    <x:row r="3">
      <x:c r="A3" s="294" t="s">
        <x:v>318</x:v>
      </x:c>
      <x:c r="B3" s="111"/>
      <x:c r="C3" s="111"/>
      <x:c r="D3" s="111"/>
      <x:c r="E3" s="111"/>
      <x:c r="F3" s="111"/>
      <x:c r="G3" s="111"/>
      <x:c r="H3" s="111"/>
    </x:row>
    <x:row r="4" ht="4.800000190734863" customHeight="1">
      <x:c r="A4" s="4"/>
      <x:c r="B4" s="4"/>
      <x:c r="C4" s="4"/>
      <x:c r="D4" s="4"/>
      <x:c r="E4" s="4"/>
      <x:c r="F4" s="4"/>
      <x:c r="G4" s="4"/>
      <x:c r="H4" s="4"/>
    </x:row>
    <x:row r="5">
      <x:c r="A5" s="153" t="s">
        <x:v>319</x:v>
      </x:c>
      <x:c r="B5" s="154"/>
      <x:c r="C5" s="154"/>
      <x:c r="D5" s="154"/>
      <x:c r="E5" s="154"/>
      <x:c r="F5" s="154"/>
      <x:c r="G5" s="154"/>
      <x:c r="H5" s="154"/>
    </x:row>
    <x:row r="6">
      <x:c r="A6" s="153"/>
      <x:c r="B6" s="154"/>
      <x:c r="C6" s="154"/>
      <x:c r="D6" s="154"/>
      <x:c r="E6" s="154"/>
      <x:c r="F6" s="154"/>
      <x:c r="G6" s="154"/>
      <x:c r="H6" s="154"/>
    </x:row>
    <x:row r="7" ht="19.200000762939453" customHeight="1">
      <x:c r="A7" s="298" t="s">
        <x:v>320</x:v>
      </x:c>
      <x:c r="B7" s="176"/>
      <x:c r="C7" s="176"/>
      <x:c r="D7" s="176"/>
      <x:c r="E7" s="176"/>
      <x:c r="F7" s="176"/>
      <x:c r="G7" s="176"/>
      <x:c r="H7" s="177"/>
    </x:row>
    <x:row r="8" ht="19.200000762939453" customHeight="1">
      <x:c r="A8" s="176"/>
      <x:c r="B8" s="176"/>
      <x:c r="C8" s="176"/>
      <x:c r="D8" s="176"/>
      <x:c r="E8" s="176"/>
      <x:c r="F8" s="176"/>
      <x:c r="G8" s="176"/>
      <x:c r="H8" s="177"/>
    </x:row>
    <x:row r="9">
      <x:c r="A9" s="9"/>
      <x:c r="B9" s="10"/>
      <x:c r="C9" s="10"/>
      <x:c r="D9" s="11"/>
      <x:c r="E9" s="4"/>
      <x:c r="F9" s="4"/>
      <x:c r="G9" s="4"/>
      <x:c r="H9" s="4"/>
    </x:row>
    <x:row r="10">
      <x:c r="A10" s="226" t="s">
        <x:v>321</x:v>
      </x:c>
      <x:c r="B10" s="227"/>
      <x:c r="C10" s="227"/>
      <x:c r="D10" s="228"/>
      <x:c r="E10" s="229"/>
      <x:c r="F10" s="229"/>
      <x:c r="G10" s="229"/>
      <x:c r="H10" s="229"/>
    </x:row>
    <x:row r="11">
      <x:c r="A11" s="230"/>
      <x:c r="B11" s="229"/>
      <x:c r="C11" s="229"/>
      <x:c r="D11" s="231"/>
      <x:c r="E11" s="229"/>
      <x:c r="F11" s="229"/>
      <x:c r="G11" s="229"/>
      <x:c r="H11" s="229"/>
    </x:row>
    <x:row r="12">
      <x:c r="A12" s="53"/>
      <x:c r="B12" s="3"/>
      <x:c r="C12" s="3"/>
      <x:c r="D12" s="55"/>
      <x:c r="E12" s="4"/>
      <x:c r="F12" s="4"/>
      <x:c r="G12" s="4"/>
      <x:c r="H12" s="4"/>
    </x:row>
    <x:row r="13">
      <x:c r="A13" s="53"/>
      <x:c r="B13" s="3"/>
      <x:c r="C13" s="3"/>
      <x:c r="D13" s="55"/>
      <x:c r="E13" s="4"/>
      <x:c r="F13" s="4"/>
      <x:c r="G13" s="4"/>
      <x:c r="H13" s="4"/>
    </x:row>
    <x:row r="14" ht="25.649999618530273" customHeight="1">
      <x:c r="A14" s="16" t="s">
        <x:v>26</x:v>
      </x:c>
      <x:c r="B14" s="17" t="s">
        <x:v>322</x:v>
      </x:c>
      <x:c r="C14" s="17" t="s">
        <x:v>323</x:v>
      </x:c>
      <x:c r="D14" s="19" t="s">
        <x:v>324</x:v>
      </x:c>
      <x:c r="E14" s="4"/>
      <x:c r="F14" s="197" t="s">
        <x:v>325</x:v>
      </x:c>
      <x:c r="G14" s="197"/>
      <x:c r="H14" s="197"/>
    </x:row>
    <x:row r="15" ht="25.649999618530273" customHeight="1">
      <x:c r="A15" s="48">
        <x:v>1</x:v>
      </x:c>
      <x:c r="B15" s="27" t="s">
        <x:v>326</x:v>
      </x:c>
      <x:c r="C15" s="39" t="s">
        <x:v>327</x:v>
      </x:c>
      <x:c r="D15" s="108" t="s">
        <x:v>328</x:v>
      </x:c>
      <x:c r="E15" s="4"/>
      <x:c r="F15" s="197"/>
      <x:c r="G15" s="197"/>
      <x:c r="H15" s="197"/>
    </x:row>
    <x:row r="16" ht="25.649999618530273" customHeight="1">
      <x:c r="A16" s="49">
        <x:v>2</x:v>
      </x:c>
      <x:c r="B16" s="20" t="s">
        <x:v>329</x:v>
      </x:c>
      <x:c r="C16" s="40" t="s">
        <x:v>330</x:v>
      </x:c>
      <x:c r="D16" s="89" t="s">
        <x:v>328</x:v>
      </x:c>
      <x:c r="E16" s="4"/>
      <x:c r="F16" s="197"/>
      <x:c r="G16" s="197"/>
      <x:c r="H16" s="197"/>
    </x:row>
    <x:row r="17" ht="25.649999618530273" customHeight="1">
      <x:c r="A17" s="50">
        <x:v>3</x:v>
      </x:c>
      <x:c r="B17" s="23" t="s">
        <x:v>331</x:v>
      </x:c>
      <x:c r="C17" s="41" t="s">
        <x:v>332</x:v>
      </x:c>
      <x:c r="D17" s="91" t="s">
        <x:v>328</x:v>
      </x:c>
      <x:c r="E17" s="4"/>
      <x:c r="F17" s="4"/>
      <x:c r="G17" s="4"/>
      <x:c r="H17" s="4"/>
    </x:row>
    <x:row r="18" ht="25.649999618530273" customHeight="1">
      <x:c r="A18" s="49">
        <x:v>4</x:v>
      </x:c>
      <x:c r="B18" s="35" t="s">
        <x:v>333</x:v>
      </x:c>
      <x:c r="C18" s="42" t="s">
        <x:v>334</x:v>
      </x:c>
      <x:c r="D18" s="79" t="s">
        <x:v>328</x:v>
      </x:c>
      <x:c r="E18" s="4"/>
      <x:c r="F18" s="229" t="s">
        <x:v>335</x:v>
      </x:c>
      <x:c r="G18" s="229"/>
      <x:c r="H18" s="229"/>
    </x:row>
    <x:row r="19" ht="25.649999618530273" customHeight="1">
      <x:c r="A19" s="49">
        <x:v>5</x:v>
      </x:c>
      <x:c r="B19" s="35" t="s">
        <x:v>336</x:v>
      </x:c>
      <x:c r="C19" s="42" t="s">
        <x:v>337</x:v>
      </x:c>
      <x:c r="D19" s="79" t="s">
        <x:v>328</x:v>
      </x:c>
      <x:c r="E19" s="4"/>
      <x:c r="F19" s="229"/>
      <x:c r="G19" s="229"/>
      <x:c r="H19" s="229"/>
    </x:row>
    <x:row r="20" ht="25.649999618530273" customHeight="1">
      <x:c r="A20" s="49">
        <x:v>6</x:v>
      </x:c>
      <x:c r="B20" s="35" t="s">
        <x:v>338</x:v>
      </x:c>
      <x:c r="C20" s="42" t="s">
        <x:v>339</x:v>
      </x:c>
      <x:c r="D20" s="79" t="s">
        <x:v>328</x:v>
      </x:c>
      <x:c r="E20" s="4"/>
      <x:c r="F20" s="229"/>
      <x:c r="G20" s="229"/>
      <x:c r="H20" s="229"/>
    </x:row>
    <x:row r="21" ht="25.649999618530273" customHeight="1">
      <x:c r="A21" s="49">
        <x:v>7</x:v>
      </x:c>
      <x:c r="B21" s="35" t="s">
        <x:v>340</x:v>
      </x:c>
      <x:c r="C21" s="42" t="s">
        <x:v>341</x:v>
      </x:c>
      <x:c r="D21" s="79" t="s">
        <x:v>328</x:v>
      </x:c>
      <x:c r="E21" s="4"/>
      <x:c r="F21" s="4"/>
      <x:c r="G21" s="4"/>
      <x:c r="H21" s="4"/>
    </x:row>
    <x:row r="22" ht="25.649999618530273" customHeight="1">
      <x:c r="A22" s="49">
        <x:v>8</x:v>
      </x:c>
      <x:c r="B22" s="35" t="s">
        <x:v>342</x:v>
      </x:c>
      <x:c r="C22" s="42" t="s">
        <x:v>315</x:v>
      </x:c>
      <x:c r="D22" s="79" t="s">
        <x:v>328</x:v>
      </x:c>
      <x:c r="E22" s="4"/>
      <x:c r="F22" s="232" t="s">
        <x:v>343</x:v>
      </x:c>
      <x:c r="G22" s="232"/>
      <x:c r="H22" s="232"/>
    </x:row>
    <x:row r="23" ht="25.649999618530273" customHeight="1">
      <x:c r="A23" s="51">
        <x:v>9</x:v>
      </x:c>
      <x:c r="B23" s="37" t="s">
        <x:v>344</x:v>
      </x:c>
      <x:c r="C23" s="43" t="s">
        <x:v>345</x:v>
      </x:c>
      <x:c r="D23" s="81" t="s">
        <x:v>328</x:v>
      </x:c>
      <x:c r="E23" s="4"/>
      <x:c r="F23" s="232"/>
      <x:c r="G23" s="232"/>
      <x:c r="H23" s="232"/>
    </x:row>
    <x:row r="24">
      <x:c r="A24" s="4"/>
      <x:c r="B24" s="4"/>
      <x:c r="C24" s="4"/>
      <x:c r="D24" s="4"/>
      <x:c r="E24" s="4"/>
      <x:c r="F24" s="232"/>
      <x:c r="G24" s="232"/>
      <x:c r="H24" s="232"/>
    </x:row>
    <x:row r="25">
      <x:c r="A25" s="4"/>
      <x:c r="B25" s="4"/>
      <x:c r="C25" s="4"/>
      <x:c r="D25" s="4"/>
      <x:c r="E25" s="4"/>
      <x:c r="F25" s="4"/>
      <x:c r="G25" s="4"/>
      <x:c r="H25" s="4"/>
    </x:row>
    <x:row r="26">
      <x:c r="A26" s="4"/>
      <x:c r="B26" s="4"/>
      <x:c r="C26" s="4"/>
      <x:c r="D26" s="4"/>
      <x:c r="E26" s="4"/>
      <x:c r="F26" s="4"/>
      <x:c r="G26" s="4"/>
      <x:c r="H26" s="4"/>
    </x:row>
    <x:row r="27">
      <x:c r="A27" s="4"/>
      <x:c r="B27" s="4"/>
      <x:c r="C27" s="4"/>
      <x:c r="D27" s="4"/>
      <x:c r="E27" s="4"/>
      <x:c r="F27" s="4"/>
      <x:c r="G27" s="4"/>
      <x:c r="H27" s="4"/>
    </x:row>
    <x:row r="28">
      <x:c r="A28" s="4"/>
      <x:c r="B28" s="4"/>
      <x:c r="C28" s="4"/>
      <x:c r="D28" s="4"/>
      <x:c r="E28" s="4"/>
      <x:c r="F28" s="4"/>
      <x:c r="G28" s="4"/>
      <x:c r="H28" s="4"/>
    </x:row>
    <x:row r="29">
      <x:c r="A29" s="4"/>
      <x:c r="B29" s="4"/>
      <x:c r="C29" s="4"/>
      <x:c r="D29" s="4"/>
      <x:c r="E29" s="4"/>
      <x:c r="F29" s="4"/>
      <x:c r="G29" s="4"/>
      <x:c r="H29" s="4"/>
    </x:row>
    <x:row r="30">
      <x:c r="A30" s="4"/>
      <x:c r="B30" s="4"/>
      <x:c r="C30" s="4"/>
      <x:c r="D30" s="4"/>
      <x:c r="E30" s="4"/>
      <x:c r="F30" s="4"/>
      <x:c r="G30" s="4"/>
      <x:c r="H30" s="4"/>
    </x:row>
    <x:row r="31">
      <x:c r="A31" s="4"/>
      <x:c r="B31" s="4"/>
      <x:c r="C31" s="4"/>
      <x:c r="D31" s="4"/>
      <x:c r="E31" s="4"/>
      <x:c r="F31" s="4"/>
      <x:c r="G31" s="4"/>
      <x:c r="H31" s="4"/>
    </x:row>
    <x:row r="32">
      <x:c r="A32" s="4"/>
      <x:c r="B32" s="4"/>
      <x:c r="C32" s="4"/>
      <x:c r="D32" s="4"/>
      <x:c r="E32" s="4"/>
      <x:c r="F32" s="4"/>
      <x:c r="G32" s="4"/>
      <x:c r="H32" s="4"/>
    </x:row>
    <x:row r="33">
      <x:c r="A33" s="4"/>
      <x:c r="B33" s="4"/>
      <x:c r="C33" s="4"/>
      <x:c r="D33" s="4"/>
      <x:c r="E33" s="4"/>
      <x:c r="F33" s="4"/>
      <x:c r="G33" s="4"/>
      <x:c r="H33" s="4"/>
    </x:row>
    <x:row r="34">
      <x:c r="A34" s="4"/>
      <x:c r="B34" s="4"/>
      <x:c r="C34" s="4"/>
      <x:c r="D34" s="4"/>
      <x:c r="E34" s="4"/>
      <x:c r="F34" s="4"/>
      <x:c r="G34" s="4"/>
      <x:c r="H34" s="4"/>
    </x:row>
  </x:sheetData>
  <x:mergeCells>
    <x:mergeCell ref="F14:H16"/>
    <x:mergeCell ref="F18:H20"/>
    <x:mergeCell ref="F22:H24"/>
    <x:mergeCell ref="A1:H2"/>
    <x:mergeCell ref="A3:H3"/>
    <x:mergeCell ref="A5:H6"/>
    <x:mergeCell ref="A7:H8"/>
    <x:mergeCell ref="A10:H11"/>
  </x:mergeCells>
  <x:dataValidations count="1">
    <x:dataValidation type="list" sqref="D15:D23">
      <x:formula1>"Not Started,In Progress,Done"</x:formula1>
    </x:dataValidation>
  </x:dataValidations>
  <x:pageMargins left="0.7" right="0.7" top="0.75" bottom="0.75" header="0.3" footer="0.3"/>
</x:worksheet>
</file>