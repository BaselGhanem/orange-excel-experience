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sel\Downloads\"/>
    </mc:Choice>
  </mc:AlternateContent>
  <xr:revisionPtr revIDLastSave="0" documentId="13_ncr:1_{D7D9DAFB-0936-487B-9D7A-351715CCCB22}" xr6:coauthVersionLast="47" xr6:coauthVersionMax="47" xr10:uidLastSave="{00000000-0000-0000-0000-000000000000}"/>
  <bookViews>
    <workbookView xWindow="-96" yWindow="-96" windowWidth="23232" windowHeight="13872" firstSheet="2" activeTab="6" xr2:uid="{00000000-000D-0000-FFFF-FFFF00000000}"/>
  </bookViews>
  <sheets>
    <sheet name="00_COVER" sheetId="1" r:id="rId1"/>
    <sheet name="01_ROADMAP" sheetId="2" r:id="rId2"/>
    <sheet name="02_RAW_DATA" sheetId="3" r:id="rId3"/>
    <sheet name="03_TEXT_LAB" sheetId="4" r:id="rId4"/>
    <sheet name="04_QUALITY_CHECKS" sheetId="5" r:id="rId5"/>
    <sheet name="05_DATE_LAB" sheetId="6" r:id="rId6"/>
    <sheet name="06_COMBINED_CAS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6" l="1"/>
  <c r="G19" i="6"/>
  <c r="G18" i="6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H20" i="6"/>
  <c r="F20" i="6"/>
  <c r="E20" i="6"/>
  <c r="J19" i="6"/>
  <c r="H19" i="6"/>
  <c r="F19" i="6"/>
  <c r="E19" i="6"/>
  <c r="H18" i="6"/>
  <c r="F18" i="6"/>
  <c r="E18" i="6"/>
  <c r="E26" i="5"/>
  <c r="D26" i="5"/>
  <c r="C26" i="5"/>
  <c r="E25" i="5"/>
  <c r="D25" i="5"/>
  <c r="C25" i="5"/>
  <c r="E24" i="5"/>
  <c r="D24" i="5"/>
  <c r="C24" i="5"/>
  <c r="G11" i="5"/>
  <c r="H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<sst xmlns="http://schemas.openxmlformats.org/spreadsheetml/2006/main" count="514" uniqueCount="345">
  <si>
    <t>ADVANCED TEXT &amp; DATE FUNCTIONS</t>
  </si>
  <si>
    <t>تنظيف النصوص وفهم التواريخ وتحويل البيانات الخام إلى حقول جاهزة للتحليل</t>
  </si>
  <si>
    <t>One operational feed. Hidden fields, inconsistent IDs, and dates that can mislead an SLA report.</t>
  </si>
  <si>
    <t>MODULE 03  •  DAY 1  •  ORANGE JORDAN  •  08 SEP 2026</t>
  </si>
  <si>
    <t>BY THE END OF THIS MODULE, YOU CAN:</t>
  </si>
  <si>
    <t>01  •  PARSE STRUCTURED TEXT
TEXTBEFORE • TEXTAFTER • TEXTSPLIT
Extract fields without manual Text to Columns.</t>
  </si>
  <si>
    <t>Parse structured text</t>
  </si>
  <si>
    <t>02  •  DETECT TYPE PROBLEMS
ISTEXT • ISNONTEXT
Flag IDs that look right but behave differently.</t>
  </si>
  <si>
    <t>Detect data-type problems</t>
  </si>
  <si>
    <t>TEXTBEFORE • TEXTAFTER • TEXTSPLIT</t>
  </si>
  <si>
    <t>ISTEXT • ISNONTEXT</t>
  </si>
  <si>
    <t>Extract fields without manual Text to Columns.</t>
  </si>
  <si>
    <t>Flag IDs that look right but behave differently.</t>
  </si>
  <si>
    <t>Build date intelligence</t>
  </si>
  <si>
    <t>04  •  COMBINE THE LOGIC
TEXT + QUALITY + DATE
Clean one feed into analysis-ready output.</t>
  </si>
  <si>
    <t>Combine the logic</t>
  </si>
  <si>
    <t>YEAR • MONTH • TODAY • NETWORKDAYS</t>
  </si>
  <si>
    <t>TEXT + QUALITY + DATE</t>
  </si>
  <si>
    <t>Turn raw dates into reporting and SLA logic.</t>
  </si>
  <si>
    <t>Clean one feed into analysis-ready output.</t>
  </si>
  <si>
    <t>CODERZ ACADEMY  •  ADVANCED EXCEL BUSINESS EXPERIENCE</t>
  </si>
  <si>
    <t>MODULE 03 ROADMAP</t>
  </si>
  <si>
    <t>من بيانات خام إلى ملف جاهز للتحليل</t>
  </si>
  <si>
    <t>YOUR MISSION  •  Follow the business sequence. Open the source feed only when a practice sheet asks you to.</t>
  </si>
  <si>
    <t>المطلوب منك  •  امشِ مع تسلسل الحالة العملية، وافتح بيانات المصدر فقط عندما يطلب منك التمرين.</t>
  </si>
  <si>
    <t>#</t>
  </si>
  <si>
    <t>STAGE</t>
  </si>
  <si>
    <t>SHEET</t>
  </si>
  <si>
    <t>WHAT YOU WILL DO</t>
  </si>
  <si>
    <t>BUSINESS VALUE</t>
  </si>
  <si>
    <t>THE FEED</t>
  </si>
  <si>
    <t>02_RAW_DATA</t>
  </si>
  <si>
    <t>Inspect a semi-structured service-order feed</t>
  </si>
  <si>
    <t>See the cleaning problem before touching a formula</t>
  </si>
  <si>
    <t>PARSE</t>
  </si>
  <si>
    <t>03_TEXT_LAB</t>
  </si>
  <si>
    <t>Extract Region, Service, Customer ID and Order Type</t>
  </si>
  <si>
    <t>Turn one text field into usable dimensions</t>
  </si>
  <si>
    <t>VALIDATE</t>
  </si>
  <si>
    <t>04_QUALITY_CHECKS</t>
  </si>
  <si>
    <t>Detect mixed Account Reference data types</t>
  </si>
  <si>
    <t>Stop hidden type problems before analysis</t>
  </si>
  <si>
    <t>DATE INTELLIGENCE</t>
  </si>
  <si>
    <t>05_DATE_LAB</t>
  </si>
  <si>
    <t>Build Year, Month, business-day duration and SLA status</t>
  </si>
  <si>
    <t>Convert dates into operational insight</t>
  </si>
  <si>
    <t>FINAL CASE</t>
  </si>
  <si>
    <t>06_COMBINED_CASE</t>
  </si>
  <si>
    <t>Clean and enrich the feed as one business task</t>
  </si>
  <si>
    <t>Prove the whole workflow under time pressure</t>
  </si>
  <si>
    <t>REFERENCE  •  07_ANSWER_KEY  |  08_TRAINER_FLOW</t>
  </si>
  <si>
    <t>WORKING RULE  •  The source feed is intentionally imperfect. Do not “fix” the raw data manually — solve the business problem with formulas.</t>
  </si>
  <si>
    <t>قاعدة العمل  •  بيانات المصدر فيها مشاكل مقصودة. لا تصلحها يدوياً؛ خلّي المعادلات تكشف المشكلة وتعالج المطلوب.</t>
  </si>
  <si>
    <t>BUSINESS CASE 01  •  THE MESSY SERVICE-ORDER FEED</t>
  </si>
  <si>
    <t>ملف واحد... لكن داخله حقول مخفية، أنواع بيانات غير متناسقة، وتواريخ تحتاج تفسير</t>
  </si>
  <si>
    <t>YOUR MISSION  •  Inspect the feed. Identify what makes it hard to analyze. Do not edit the source data.</t>
  </si>
  <si>
    <t>المطلوب منك  •  راقب البيانات وحدد أين المشكلة. لا تعدّل بيانات المصدر.</t>
  </si>
  <si>
    <t>THE BUSINESS PAIN  •  Region + Service + Customer ID + Order Type are trapped inside one Composite Key. Some Account References are numbers. SLA decisions depend on dates.</t>
  </si>
  <si>
    <t>السؤال: لو المدير طلب Report حسب Region وService وحالة SLA... هل هذا الملف جاهز للتحليل كما هو؟</t>
  </si>
  <si>
    <t>Order ID</t>
  </si>
  <si>
    <t>Composite Key</t>
  </si>
  <si>
    <t>Account Reference</t>
  </si>
  <si>
    <t>Start Date</t>
  </si>
  <si>
    <t>Due Date</t>
  </si>
  <si>
    <t>Close Date</t>
  </si>
  <si>
    <t>Priority</t>
  </si>
  <si>
    <t>ORD-0001</t>
  </si>
  <si>
    <t>Balqa|Fiber|C30001|UPG</t>
  </si>
  <si>
    <t>ACC-77017</t>
  </si>
  <si>
    <t>P1</t>
  </si>
  <si>
    <t>ORD-0002</t>
  </si>
  <si>
    <t>Irbid|5G Home|C30002|MIG</t>
  </si>
  <si>
    <t>ACC-50654</t>
  </si>
  <si>
    <t>P3</t>
  </si>
  <si>
    <t>ORD-0003</t>
  </si>
  <si>
    <t>Aqaba|Fiber|C30003|ACT</t>
  </si>
  <si>
    <t>ACC-25202</t>
  </si>
  <si>
    <t>P2</t>
  </si>
  <si>
    <t>ORD-0004</t>
  </si>
  <si>
    <t>Balqa|Mobile|C30004|UPG</t>
  </si>
  <si>
    <t>ACC-25655</t>
  </si>
  <si>
    <t>ORD-0005</t>
  </si>
  <si>
    <t>Irbid|Mobile|C30005|REN</t>
  </si>
  <si>
    <t>ACC-31884</t>
  </si>
  <si>
    <t>ORD-0006</t>
  </si>
  <si>
    <t>Irbid|5G Home|C30006|ACT</t>
  </si>
  <si>
    <t>ORD-0007</t>
  </si>
  <si>
    <t>Balqa|Mobile|C30007|UPG</t>
  </si>
  <si>
    <t>ACC-75031</t>
  </si>
  <si>
    <t>ORD-0008</t>
  </si>
  <si>
    <t>Balqa|5G Home|C30008|ACT</t>
  </si>
  <si>
    <t>ACC-58193</t>
  </si>
  <si>
    <t>ORD-0009</t>
  </si>
  <si>
    <t>Zarqa|Mobile|C30009|ACT</t>
  </si>
  <si>
    <t>ACC-15772</t>
  </si>
  <si>
    <t>ORD-0010</t>
  </si>
  <si>
    <t>Irbid|Mobile|C30010|MIG</t>
  </si>
  <si>
    <t>ACC-33456</t>
  </si>
  <si>
    <t>ORD-0011</t>
  </si>
  <si>
    <t>Balqa|Enterprise Data|C30011|REN</t>
  </si>
  <si>
    <t>ACC-51934</t>
  </si>
  <si>
    <t>ORD-0012</t>
  </si>
  <si>
    <t>Amman|5G Home|C30012|ACT</t>
  </si>
  <si>
    <t>ORD-0013</t>
  </si>
  <si>
    <t>Balqa|Mobile|C30013|MIG</t>
  </si>
  <si>
    <t>ACC-50723</t>
  </si>
  <si>
    <t>ORD-0014</t>
  </si>
  <si>
    <t>Amman|Enterprise Data|C30014|ACT</t>
  </si>
  <si>
    <t>ACC-83899</t>
  </si>
  <si>
    <t>ORD-0015</t>
  </si>
  <si>
    <t>Balqa|Fiber|C30015|MIG</t>
  </si>
  <si>
    <t>ACC-35614</t>
  </si>
  <si>
    <t>ORD-0016</t>
  </si>
  <si>
    <t>Balqa|Fiber|C30016|REN</t>
  </si>
  <si>
    <t>ACC-40539</t>
  </si>
  <si>
    <t>ORD-0017</t>
  </si>
  <si>
    <t>Zarqa|Mobile|C30017|UPG</t>
  </si>
  <si>
    <t>ACC-50306</t>
  </si>
  <si>
    <t>ORD-0018</t>
  </si>
  <si>
    <t>Irbid|Fiber|C30018|MIG</t>
  </si>
  <si>
    <t>ORD-0019</t>
  </si>
  <si>
    <t>Amman|Fiber|C30019|MIG</t>
  </si>
  <si>
    <t>ACC-21128</t>
  </si>
  <si>
    <t>ORD-0020</t>
  </si>
  <si>
    <t>Amman|Fiber|C30020|MIG</t>
  </si>
  <si>
    <t>ACC-67014</t>
  </si>
  <si>
    <t>ORD-0021</t>
  </si>
  <si>
    <t>Irbid|Fiber|C30021|UPG</t>
  </si>
  <si>
    <t>ACC-52762</t>
  </si>
  <si>
    <t>ORD-0022</t>
  </si>
  <si>
    <t>Aqaba|5G Home|C30022|REN</t>
  </si>
  <si>
    <t>ACC-86638</t>
  </si>
  <si>
    <t>ORD-0023</t>
  </si>
  <si>
    <t>Irbid|Mobile|C30023|REN</t>
  </si>
  <si>
    <t>ACC-63282</t>
  </si>
  <si>
    <t>ORD-0024</t>
  </si>
  <si>
    <t>Balqa|5G Home|C30024|REN</t>
  </si>
  <si>
    <t>ORD-0025</t>
  </si>
  <si>
    <t>Amman|Fiber|C30025|UPG</t>
  </si>
  <si>
    <t>ACC-38183</t>
  </si>
  <si>
    <t>ORD-0026</t>
  </si>
  <si>
    <t>Irbid|Mobile|C30026|REN</t>
  </si>
  <si>
    <t>ACC-98759</t>
  </si>
  <si>
    <t>ORD-0027</t>
  </si>
  <si>
    <t>Zarqa|Fiber|C30027|ACT</t>
  </si>
  <si>
    <t>ACC-22415</t>
  </si>
  <si>
    <t>ORD-0028</t>
  </si>
  <si>
    <t>Amman|Fiber|C30028|ACT</t>
  </si>
  <si>
    <t>ACC-27133</t>
  </si>
  <si>
    <t>ORD-0029</t>
  </si>
  <si>
    <t>Aqaba|5G Home|C30029|ACT</t>
  </si>
  <si>
    <t>ACC-19828</t>
  </si>
  <si>
    <t>ORD-0030</t>
  </si>
  <si>
    <t>Amman|Fiber|C30030|MIG</t>
  </si>
  <si>
    <t>ORD-0031</t>
  </si>
  <si>
    <t>Amman|Enterprise Data|C30031|ACT</t>
  </si>
  <si>
    <t>ACC-61773</t>
  </si>
  <si>
    <t>ORD-0032</t>
  </si>
  <si>
    <t>Amman|Enterprise Data|C30032|MIG</t>
  </si>
  <si>
    <t>ACC-34530</t>
  </si>
  <si>
    <t>ORD-0033</t>
  </si>
  <si>
    <t>Zarqa|Enterprise Data|C30033|REN</t>
  </si>
  <si>
    <t>ACC-94840</t>
  </si>
  <si>
    <t>ORD-0034</t>
  </si>
  <si>
    <t>Aqaba|Enterprise Data|C30034|MIG</t>
  </si>
  <si>
    <t>ACC-60202</t>
  </si>
  <si>
    <t>ORD-0035</t>
  </si>
  <si>
    <t>Aqaba|Fiber|C30035|REN</t>
  </si>
  <si>
    <t>ACC-60134</t>
  </si>
  <si>
    <t>ORD-0036</t>
  </si>
  <si>
    <t>Zarqa|Enterprise Data|C30036|MIG</t>
  </si>
  <si>
    <t>ORD-0037</t>
  </si>
  <si>
    <t>Irbid|Mobile|C30037|UPG</t>
  </si>
  <si>
    <t>ACC-46822</t>
  </si>
  <si>
    <t>ORD-0038</t>
  </si>
  <si>
    <t>Aqaba|5G Home|C30038|REN</t>
  </si>
  <si>
    <t>ACC-96096</t>
  </si>
  <si>
    <t>ORD-0039</t>
  </si>
  <si>
    <t>Zarqa|Mobile|C30039|REN</t>
  </si>
  <si>
    <t>ACC-32768</t>
  </si>
  <si>
    <t>ORD-0040</t>
  </si>
  <si>
    <t>Irbid|5G Home|C30040|UPG</t>
  </si>
  <si>
    <t>ACC-84403</t>
  </si>
  <si>
    <t>ORD-0041</t>
  </si>
  <si>
    <t>Irbid|Fiber|C30041|MIG</t>
  </si>
  <si>
    <t>ACC-74282</t>
  </si>
  <si>
    <t>ORD-0042</t>
  </si>
  <si>
    <t>Amman|Mobile|C30042|REN</t>
  </si>
  <si>
    <t>ORD-0043</t>
  </si>
  <si>
    <t>Amman|5G Home|C30043|REN</t>
  </si>
  <si>
    <t>ACC-33260</t>
  </si>
  <si>
    <t>ORD-0044</t>
  </si>
  <si>
    <t>Amman|Mobile|C30044|REN</t>
  </si>
  <si>
    <t>ACC-24538</t>
  </si>
  <si>
    <t>ORD-0045</t>
  </si>
  <si>
    <t>Zarqa|Mobile|C30045|UPG</t>
  </si>
  <si>
    <t>ACC-86810</t>
  </si>
  <si>
    <t>ORD-0046</t>
  </si>
  <si>
    <t>Zarqa|5G Home|C30046|UPG</t>
  </si>
  <si>
    <t>ACC-93789</t>
  </si>
  <si>
    <t>ORD-0047</t>
  </si>
  <si>
    <t>Zarqa|Fiber|C30047|UPG</t>
  </si>
  <si>
    <t>ACC-59595</t>
  </si>
  <si>
    <t>ORD-0048</t>
  </si>
  <si>
    <t>Zarqa|Fiber|C30048|REN</t>
  </si>
  <si>
    <t>ORD-0049</t>
  </si>
  <si>
    <t>Irbid|5G Home|C30049|REN</t>
  </si>
  <si>
    <t>ACC-75035</t>
  </si>
  <si>
    <t>ORD-0050</t>
  </si>
  <si>
    <t>Zarqa|Mobile|C30050|REN</t>
  </si>
  <si>
    <t>ACC-93386</t>
  </si>
  <si>
    <t>ORD-0051</t>
  </si>
  <si>
    <t>Zarqa|Enterprise Data|C30051|ACT</t>
  </si>
  <si>
    <t>ACC-18885</t>
  </si>
  <si>
    <t>ORD-0052</t>
  </si>
  <si>
    <t>Zarqa|Mobile|C30052|ACT</t>
  </si>
  <si>
    <t>ACC-65004</t>
  </si>
  <si>
    <t>ORD-0053</t>
  </si>
  <si>
    <t>Aqaba|Enterprise Data|C30053|MIG</t>
  </si>
  <si>
    <t>ACC-23294</t>
  </si>
  <si>
    <t>ORD-0054</t>
  </si>
  <si>
    <t>Balqa|Fiber|C30054|REN</t>
  </si>
  <si>
    <t>ORD-0055</t>
  </si>
  <si>
    <t>Zarqa|5G Home|C30055|ACT</t>
  </si>
  <si>
    <t>ACC-59212</t>
  </si>
  <si>
    <t>ORD-0056</t>
  </si>
  <si>
    <t>Amman|Mobile|C30056|UPG</t>
  </si>
  <si>
    <t>ACC-14062</t>
  </si>
  <si>
    <t>ORD-0057</t>
  </si>
  <si>
    <t>Irbid|Enterprise Data|C30057|REN</t>
  </si>
  <si>
    <t>ACC-36941</t>
  </si>
  <si>
    <t>ORD-0058</t>
  </si>
  <si>
    <t>Aqaba|5G Home|C30058|UPG</t>
  </si>
  <si>
    <t>ACC-16505</t>
  </si>
  <si>
    <t>ORD-0059</t>
  </si>
  <si>
    <t>Balqa|Enterprise Data|C30059|REN</t>
  </si>
  <si>
    <t>ACC-66047</t>
  </si>
  <si>
    <t>ORD-0060</t>
  </si>
  <si>
    <t>Zarqa|Enterprise Data|C30060|REN</t>
  </si>
  <si>
    <t>BUSINESS CASE 02  •  ONE CELL. FOUR PIECES OF DATA.</t>
  </si>
  <si>
    <t>المعلومة موجودة... بس محبوسة داخل نص واحد</t>
  </si>
  <si>
    <t>YOUR MISSION  •  Parse the Composite Key into analysis-ready fields. Demo rows are solved; complete the highlighted practice area.</t>
  </si>
  <si>
    <t>المطلوب منك  •  فكّ المفتاح المركب إلى حقول واضحة. صفوف الـDemo جاهزة، والخلايا الصفراء عليك.</t>
  </si>
  <si>
    <t>Region?</t>
  </si>
  <si>
    <t>Service?</t>
  </si>
  <si>
    <t>Customer ID?</t>
  </si>
  <si>
    <t>Order Type?</t>
  </si>
  <si>
    <t>Manual Work</t>
  </si>
  <si>
    <t>QUICK WIN  •  FIRST FIELD</t>
  </si>
  <si>
    <t>Amman|Fiber|C30091|ACT</t>
  </si>
  <si>
    <t>?</t>
  </si>
  <si>
    <t>4 fields to extract</t>
  </si>
  <si>
    <t>Irbid|5G Home|C30092|MIG</t>
  </si>
  <si>
    <t>Repeat again</t>
  </si>
  <si>
    <t>Zarqa|Mobile|C30093|UPG</t>
  </si>
  <si>
    <t>And again...</t>
  </si>
  <si>
    <t>TEXTBEFORE
=TEXTBEFORE(text, delimiter, [instance_num])
Return what appears before a delimiter.</t>
  </si>
  <si>
    <t>TEXTAFTER
=TEXTAFTER(text, delimiter, [instance_num])
Return what appears after a delimiter.</t>
  </si>
  <si>
    <t>TEXTSPLIT
=TEXTSPLIT(text, col_delimiter, [row_delimiter])
Split one text value into multiple cells.</t>
  </si>
  <si>
    <t>THINKING RULE  •  Delimiter = where the structure changes.  instance_num = which occurrence of that delimiter you care about.</t>
  </si>
  <si>
    <t>Region</t>
  </si>
  <si>
    <t>After 1st |</t>
  </si>
  <si>
    <t>Service</t>
  </si>
  <si>
    <t>Customer ID</t>
  </si>
  <si>
    <t>Order Type</t>
  </si>
  <si>
    <t>TEXTSPLIT  •  ONE FORMULA → FOUR FIELDS</t>
  </si>
  <si>
    <t>Source</t>
  </si>
  <si>
    <t>Build ONE formula in I26: =TEXTSPLIT(H26,"|")
The result should spill horizontally.</t>
  </si>
  <si>
    <t>BUSINESS CASE 03  •  IT LOOKS LIKE AN ID. IS IT?</t>
  </si>
  <si>
    <t>شكلها ID... لكن Excel شايف بعضها Text وبعضها Number</t>
  </si>
  <si>
    <t>YOUR MISSION  •  Detect data-type inconsistencies before they break lookups, joins or reports. Complete the highlighted checks.</t>
  </si>
  <si>
    <t>المطلوب منك  •  اكشف اختلاف نوع البيانات قبل ما يسبب مشاكل بالبحث أو الربط أو التقارير.</t>
  </si>
  <si>
    <t>What You See</t>
  </si>
  <si>
    <t>What Excel Sees</t>
  </si>
  <si>
    <t>Risk</t>
  </si>
  <si>
    <t>QUICK WIN</t>
  </si>
  <si>
    <t>ORD-A</t>
  </si>
  <si>
    <t>Looks like an ID</t>
  </si>
  <si>
    <t>Text</t>
  </si>
  <si>
    <t>Low</t>
  </si>
  <si>
    <t>ORD-B</t>
  </si>
  <si>
    <t>Number</t>
  </si>
  <si>
    <t>Hidden type mismatch</t>
  </si>
  <si>
    <t>ORD-C</t>
  </si>
  <si>
    <t>ORD-D</t>
  </si>
  <si>
    <t>Business rule:
IF the Account Reference is text → Valid Text ID
Otherwise → Review Type</t>
  </si>
  <si>
    <t>ORD-E</t>
  </si>
  <si>
    <t>ISTEXT(value)
Returns TRUE only when Excel stores the value as text.
Business use: validate IDs, labels, imported codes.</t>
  </si>
  <si>
    <t>ISNONTEXT(value)
Returns TRUE for anything that is not text.
Important: numbers, dates and blanks are all non-text.</t>
  </si>
  <si>
    <t>ISTEXT</t>
  </si>
  <si>
    <t>ISNONTEXT</t>
  </si>
  <si>
    <t>Quality Flag</t>
  </si>
  <si>
    <t>BUSINESS CASE 04  •  CALENDAR DAYS CAN MISLEAD AN SLA REPORT</t>
  </si>
  <si>
    <t>الفرق بين تاريخين مش دائماً هو الرقم اللي بدك إياه</t>
  </si>
  <si>
    <t>YOUR MISSION  •  Turn raw dates into reporting fields and operational SLA logic. Complete the highlighted practice rows.</t>
  </si>
  <si>
    <t>المطلوب منك  •  حوّل التواريخ إلى حقول تقرير وSLA، وأكمل الخلايا الصفراء.</t>
  </si>
  <si>
    <t>Start</t>
  </si>
  <si>
    <t>Close</t>
  </si>
  <si>
    <t>Calendar Difference</t>
  </si>
  <si>
    <t>Business Days</t>
  </si>
  <si>
    <t>DATE INTELLIGENCE TOOLKIT</t>
  </si>
  <si>
    <t>YEAR(date)</t>
  </si>
  <si>
    <t>Reporting year</t>
  </si>
  <si>
    <t>REPORTING LABEL
=TEXT(StartDate,"mmm") → Jan
SLA DECISION
=IF(CloseDate&lt;=DueDate,"On Time","Late")</t>
  </si>
  <si>
    <t>MONTH(date)</t>
  </si>
  <si>
    <t>Month number</t>
  </si>
  <si>
    <t>TODAY()</t>
  </si>
  <si>
    <t>Today's date — updates automatically</t>
  </si>
  <si>
    <t>Whole working days between two dates</t>
  </si>
  <si>
    <t>Due</t>
  </si>
  <si>
    <t>Year</t>
  </si>
  <si>
    <t>Month</t>
  </si>
  <si>
    <t>SLA Status</t>
  </si>
  <si>
    <t>TODAY() has no arguments.
It recalculates when the workbook recalculates.</t>
  </si>
  <si>
    <t>THE 2:50 PM SERVICE-ORDER RESCUE</t>
  </si>
  <si>
    <t>عندك عشر دقائق قبل الاجتماع... والملف لسه Raw</t>
  </si>
  <si>
    <t>YOUR MISSION  •  Work in pairs. Explain the business logic first, then build the formula. Use 02_RAW_DATA as your source.</t>
  </si>
  <si>
    <t>RULES  •  No manual Text to Columns  •  No manual typing of outputs  •  Do not repair the source feed  •  Reuse logic from Modules 01–03</t>
  </si>
  <si>
    <t>BUSINESS TASK</t>
  </si>
  <si>
    <t>EXPECTED OUTPUT</t>
  </si>
  <si>
    <t>STATUS</t>
  </si>
  <si>
    <t>Extract Region from Composite Key</t>
  </si>
  <si>
    <t>Region field</t>
  </si>
  <si>
    <t>Not Started</t>
  </si>
  <si>
    <t>Extract Service from Composite Key</t>
  </si>
  <si>
    <t>Service field</t>
  </si>
  <si>
    <t>Extract Customer ID and Order Type</t>
  </si>
  <si>
    <t>Two clean fields</t>
  </si>
  <si>
    <t>Split all four Composite Key components using one dynamic formula</t>
  </si>
  <si>
    <t>4-column spill</t>
  </si>
  <si>
    <t>FINAL REFLECTION
Which cleaning step would you want Excel to repeat automatically every time a new file arrives?</t>
  </si>
  <si>
    <t>Flag Account References that are not stored as text</t>
  </si>
  <si>
    <t>Valid Text ID / Review Type</t>
  </si>
  <si>
    <t>Create Year and Month reporting fields from Start Date</t>
  </si>
  <si>
    <t>Year + Month label</t>
  </si>
  <si>
    <t>Calculate working days from Start Date to Close Date</t>
  </si>
  <si>
    <t>Business-day duration</t>
  </si>
  <si>
    <t>Classify each order as On Time or Late</t>
  </si>
  <si>
    <t>BRIDGE TO DAY 2
Tomorrow: Power Query turns this repeated cleaning logic into a refreshable process.</t>
  </si>
  <si>
    <t>BONUS: if a Composite Key is incomplete, return 'Check format' instead of an error</t>
  </si>
  <si>
    <t>Robust output</t>
  </si>
  <si>
    <t>03  •  BUILD DATE INTELLIGENCE
YEAR • MONTH • TODAY • NETWORKDAYS.INTL
Turn dates into reporting and SLA logic.</t>
  </si>
  <si>
    <t>Same dates. Two different questions.
Close - Start counts elapsed calendar days. NETWORKDAYS.INTL counts working days.</t>
  </si>
  <si>
    <t>NETWORKDAYS.INTL(start,end,[WEEKEND],[holidays])</t>
  </si>
  <si>
    <t>المطلوب منك  •  اشتغلوا كل شخصين مع بعض: احكوا منطق الحل أولاً، ثم اكتبوا المعادلة. المصدر: 02_RAW_DATA.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</si>
</sst>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26">
    <font>
      <sz val="11"/>
      <name val="Carlito"/>
    </font>
    <font>
      <sz val="10"/>
      <color rgb="FF25313B"/>
      <name val="Aptos"/>
    </font>
    <font>
      <b/>
      <sz val="10"/>
      <color rgb="FF25313B"/>
      <name val="Aptos"/>
    </font>
    <font>
      <b/>
      <sz val="22"/>
      <color rgb="FFFFFFFF"/>
      <name val="Aptos"/>
    </font>
    <font>
      <b/>
      <sz val="11"/>
      <color rgb="FFFF7900"/>
      <name val="Arial"/>
    </font>
    <font>
      <b/>
      <sz val="12"/>
      <color rgb="FF25313B"/>
      <name val="Aptos"/>
    </font>
    <font>
      <b/>
      <sz val="10"/>
      <color rgb="FFFFFFFF"/>
      <name val="Aptos"/>
    </font>
    <font>
      <sz val="9"/>
      <color rgb="FF25313B"/>
      <name val="Aptos"/>
    </font>
    <font>
      <b/>
      <sz val="9"/>
      <color rgb="FF25313B"/>
      <name val="Aptos"/>
    </font>
    <font>
      <b/>
      <sz val="9"/>
      <color rgb="FF6B7782"/>
      <name val="Aptos"/>
    </font>
    <font>
      <b/>
      <sz val="18"/>
      <color rgb="FFFFFFFF"/>
      <name val="Aptos"/>
    </font>
    <font>
      <b/>
      <sz val="10"/>
      <color rgb="FF147EEA"/>
      <name val="Aptos"/>
    </font>
    <font>
      <b/>
      <sz val="10"/>
      <color rgb="FFFF7900"/>
      <name val="Arial"/>
    </font>
    <font>
      <b/>
      <sz val="9"/>
      <color rgb="FFFFFFFF"/>
      <name val="Aptos"/>
    </font>
    <font>
      <b/>
      <sz val="9"/>
      <color rgb="FF147EEA"/>
      <name val="Aptos"/>
    </font>
    <font>
      <b/>
      <sz val="17"/>
      <color rgb="FFFFFFFF"/>
      <name val="Aptos"/>
    </font>
    <font>
      <b/>
      <sz val="10"/>
      <color rgb="FF147EEA"/>
      <name val="Consolas"/>
    </font>
    <font>
      <b/>
      <sz val="9"/>
      <color rgb="FF147EEA"/>
      <name val="Consolas"/>
    </font>
    <font>
      <b/>
      <sz val="9"/>
      <color rgb="FFFF7900"/>
      <name val="Arial"/>
    </font>
    <font>
      <b/>
      <sz val="11"/>
      <color rgb="FFFF7900"/>
      <name val="Dubai"/>
    </font>
    <font>
      <b/>
      <sz val="10"/>
      <color rgb="FFFF7900"/>
      <name val="Dubai"/>
    </font>
    <font>
      <b/>
      <sz val="9"/>
      <color rgb="FFFF7900"/>
      <name val="Dubai"/>
    </font>
    <font>
      <b/>
      <sz val="10"/>
      <color rgb="FFFF7900"/>
      <name val="Dubai"/>
      <family val="2"/>
    </font>
    <font>
      <b/>
      <sz val="10"/>
      <color rgb="FFFF7900"/>
      <name val="Arial"/>
      <family val="2"/>
    </font>
    <font>
      <b/>
      <sz val="9"/>
      <color rgb="FF147EEA"/>
      <name val="Consolas"/>
      <family val="3"/>
    </font>
    <font>
      <b/>
      <sz val="9"/>
      <color rgb="FFFF7900"/>
      <name val="Duba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47EEA"/>
      </patternFill>
    </fill>
    <fill>
      <patternFill patternType="solid">
        <fgColor rgb="FF374550"/>
      </patternFill>
    </fill>
    <fill>
      <patternFill patternType="solid">
        <fgColor rgb="FFFFF3E8"/>
      </patternFill>
    </fill>
    <fill>
      <patternFill patternType="solid">
        <fgColor rgb="FFEEF6FE"/>
      </patternFill>
    </fill>
    <fill>
      <patternFill patternType="solid">
        <fgColor rgb="FFFAFBFC"/>
      </patternFill>
    </fill>
    <fill>
      <patternFill patternType="solid">
        <fgColor rgb="FFEAF8F1"/>
      </patternFill>
    </fill>
    <fill>
      <patternFill patternType="solid">
        <fgColor rgb="FFFFF7CC"/>
      </patternFill>
    </fill>
    <fill>
      <patternFill patternType="solid">
        <fgColor rgb="FFEEF6FE"/>
      </patternFill>
    </fill>
    <fill>
      <patternFill patternType="solid">
        <fgColor rgb="FFFFF3E8"/>
      </patternFill>
    </fill>
    <fill>
      <patternFill patternType="solid">
        <fgColor rgb="FFEAF8F1"/>
      </patternFill>
    </fill>
    <fill>
      <patternFill patternType="solid">
        <fgColor rgb="FFFAFBFC"/>
      </patternFill>
    </fill>
    <fill>
      <patternFill patternType="solid">
        <fgColor theme="5" tint="0.79998168889431442"/>
        <bgColor indexed="64"/>
      </patternFill>
    </fill>
  </fills>
  <borders count="6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6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7" fillId="7" borderId="14" xfId="0" applyFont="1" applyFill="1" applyBorder="1" applyAlignment="1">
      <alignment horizontal="left" vertical="center" wrapText="1"/>
    </xf>
    <xf numFmtId="0" fontId="7" fillId="7" borderId="16" xfId="0" applyFont="1" applyFill="1" applyBorder="1" applyAlignment="1">
      <alignment horizontal="left" vertical="center" wrapText="1"/>
    </xf>
    <xf numFmtId="0" fontId="7" fillId="7" borderId="1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3" fillId="4" borderId="24" xfId="0" applyFont="1" applyFill="1" applyBorder="1" applyAlignment="1">
      <alignment horizontal="center" vertical="center" wrapText="1"/>
    </xf>
    <xf numFmtId="0" fontId="13" fillId="4" borderId="25" xfId="0" applyFont="1" applyFill="1" applyBorder="1" applyAlignment="1">
      <alignment horizontal="center" vertical="center" wrapText="1"/>
    </xf>
    <xf numFmtId="0" fontId="13" fillId="4" borderId="26" xfId="0" applyFont="1" applyFill="1" applyBorder="1" applyAlignment="1">
      <alignment horizontal="center" vertical="center" wrapText="1"/>
    </xf>
    <xf numFmtId="0" fontId="13" fillId="4" borderId="27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0" fontId="8" fillId="2" borderId="9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5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vertical="center" wrapText="1"/>
    </xf>
    <xf numFmtId="0" fontId="7" fillId="2" borderId="16" xfId="0" applyFont="1" applyFill="1" applyBorder="1" applyAlignment="1">
      <alignment vertical="center" wrapText="1"/>
    </xf>
    <xf numFmtId="0" fontId="7" fillId="2" borderId="15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7" fillId="2" borderId="17" xfId="0" applyFont="1" applyFill="1" applyBorder="1" applyAlignment="1">
      <alignment vertical="center" wrapText="1"/>
    </xf>
    <xf numFmtId="0" fontId="7" fillId="2" borderId="18" xfId="0" applyFont="1" applyFill="1" applyBorder="1" applyAlignment="1">
      <alignment vertical="center" wrapText="1"/>
    </xf>
    <xf numFmtId="0" fontId="7" fillId="2" borderId="19" xfId="0" applyFont="1" applyFill="1" applyBorder="1" applyAlignment="1">
      <alignment vertical="center" wrapText="1"/>
    </xf>
    <xf numFmtId="0" fontId="7" fillId="6" borderId="13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7" fillId="6" borderId="9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vertical="center" wrapText="1"/>
    </xf>
    <xf numFmtId="0" fontId="7" fillId="6" borderId="18" xfId="0" applyFont="1" applyFill="1" applyBorder="1" applyAlignment="1">
      <alignment vertical="center" wrapText="1"/>
    </xf>
    <xf numFmtId="0" fontId="14" fillId="6" borderId="13" xfId="0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29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164" fontId="13" fillId="4" borderId="25" xfId="0" applyNumberFormat="1" applyFont="1" applyFill="1" applyBorder="1" applyAlignment="1">
      <alignment horizontal="center" vertical="center" wrapText="1"/>
    </xf>
    <xf numFmtId="164" fontId="7" fillId="2" borderId="13" xfId="0" applyNumberFormat="1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164" fontId="7" fillId="2" borderId="0" xfId="0" applyNumberFormat="1" applyFont="1" applyFill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64" fontId="7" fillId="2" borderId="9" xfId="0" applyNumberFormat="1" applyFont="1" applyFill="1" applyBorder="1" applyAlignment="1">
      <alignment horizontal="left" vertical="center" wrapText="1"/>
    </xf>
    <xf numFmtId="0" fontId="7" fillId="2" borderId="31" xfId="0" applyFont="1" applyFill="1" applyBorder="1" applyAlignment="1">
      <alignment horizontal="left" vertical="center" wrapText="1"/>
    </xf>
    <xf numFmtId="164" fontId="7" fillId="2" borderId="0" xfId="0" applyNumberFormat="1" applyFont="1" applyFill="1" applyAlignment="1">
      <alignment vertical="center" wrapText="1"/>
    </xf>
    <xf numFmtId="164" fontId="7" fillId="2" borderId="18" xfId="0" applyNumberFormat="1" applyFont="1" applyFill="1" applyBorder="1" applyAlignment="1">
      <alignment vertical="center" wrapText="1"/>
    </xf>
    <xf numFmtId="0" fontId="7" fillId="2" borderId="17" xfId="0" applyFont="1" applyFill="1" applyBorder="1" applyAlignment="1">
      <alignment horizontal="left" vertical="center" wrapText="1"/>
    </xf>
    <xf numFmtId="0" fontId="7" fillId="2" borderId="18" xfId="0" applyFont="1" applyFill="1" applyBorder="1" applyAlignment="1">
      <alignment horizontal="left" vertical="center" wrapText="1"/>
    </xf>
    <xf numFmtId="0" fontId="7" fillId="2" borderId="19" xfId="0" applyFont="1" applyFill="1" applyBorder="1" applyAlignment="1">
      <alignment horizontal="left" vertical="center" wrapText="1"/>
    </xf>
    <xf numFmtId="0" fontId="7" fillId="5" borderId="13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7" fillId="5" borderId="18" xfId="0" applyFont="1" applyFill="1" applyBorder="1" applyAlignment="1">
      <alignment horizontal="left" vertical="center" wrapText="1"/>
    </xf>
    <xf numFmtId="0" fontId="7" fillId="2" borderId="33" xfId="0" applyFont="1" applyFill="1" applyBorder="1" applyAlignment="1">
      <alignment horizontal="left" vertical="center" wrapText="1"/>
    </xf>
    <xf numFmtId="0" fontId="7" fillId="8" borderId="34" xfId="0" applyFont="1" applyFill="1" applyBorder="1" applyAlignment="1">
      <alignment horizontal="left" vertical="center" wrapText="1"/>
    </xf>
    <xf numFmtId="0" fontId="7" fillId="8" borderId="35" xfId="0" applyFont="1" applyFill="1" applyBorder="1" applyAlignment="1">
      <alignment horizontal="left" vertical="center" wrapText="1"/>
    </xf>
    <xf numFmtId="0" fontId="7" fillId="8" borderId="0" xfId="0" applyFont="1" applyFill="1" applyAlignment="1">
      <alignment vertical="center" wrapText="1"/>
    </xf>
    <xf numFmtId="0" fontId="7" fillId="8" borderId="16" xfId="0" applyFont="1" applyFill="1" applyBorder="1" applyAlignment="1">
      <alignment vertical="center" wrapText="1"/>
    </xf>
    <xf numFmtId="0" fontId="7" fillId="8" borderId="13" xfId="0" applyFont="1" applyFill="1" applyBorder="1" applyAlignment="1">
      <alignment horizontal="left" vertical="center" wrapText="1"/>
    </xf>
    <xf numFmtId="0" fontId="7" fillId="8" borderId="14" xfId="0" applyFont="1" applyFill="1" applyBorder="1" applyAlignment="1">
      <alignment horizontal="left" vertical="center" wrapText="1"/>
    </xf>
    <xf numFmtId="0" fontId="7" fillId="9" borderId="0" xfId="0" applyFont="1" applyFill="1" applyAlignment="1">
      <alignment vertical="center" wrapText="1"/>
    </xf>
    <xf numFmtId="0" fontId="7" fillId="9" borderId="16" xfId="0" applyFont="1" applyFill="1" applyBorder="1" applyAlignment="1">
      <alignment vertical="center" wrapText="1"/>
    </xf>
    <xf numFmtId="0" fontId="7" fillId="9" borderId="18" xfId="0" applyFont="1" applyFill="1" applyBorder="1" applyAlignment="1">
      <alignment vertical="center" wrapText="1"/>
    </xf>
    <xf numFmtId="0" fontId="7" fillId="9" borderId="19" xfId="0" applyFont="1" applyFill="1" applyBorder="1" applyAlignment="1">
      <alignment vertical="center" wrapText="1"/>
    </xf>
    <xf numFmtId="0" fontId="8" fillId="9" borderId="36" xfId="0" applyFont="1" applyFill="1" applyBorder="1" applyAlignment="1">
      <alignment horizontal="center" vertical="center"/>
    </xf>
    <xf numFmtId="0" fontId="8" fillId="9" borderId="37" xfId="0" applyFont="1" applyFill="1" applyBorder="1" applyAlignment="1">
      <alignment horizontal="center" vertical="center"/>
    </xf>
    <xf numFmtId="0" fontId="8" fillId="9" borderId="38" xfId="0" applyFont="1" applyFill="1" applyBorder="1" applyAlignment="1">
      <alignment horizontal="center" vertical="center"/>
    </xf>
    <xf numFmtId="0" fontId="7" fillId="5" borderId="16" xfId="0" applyFont="1" applyFill="1" applyBorder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9" borderId="0" xfId="0" applyFont="1" applyFill="1" applyAlignment="1">
      <alignment horizontal="left" vertical="center" wrapText="1"/>
    </xf>
    <xf numFmtId="0" fontId="7" fillId="9" borderId="16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9" borderId="31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 wrapText="1"/>
    </xf>
    <xf numFmtId="164" fontId="13" fillId="4" borderId="27" xfId="0" applyNumberFormat="1" applyFont="1" applyFill="1" applyBorder="1" applyAlignment="1">
      <alignment horizontal="center" vertical="center" wrapText="1"/>
    </xf>
    <xf numFmtId="164" fontId="7" fillId="2" borderId="37" xfId="0" applyNumberFormat="1" applyFont="1" applyFill="1" applyBorder="1" applyAlignment="1">
      <alignment horizontal="left" vertical="center" wrapText="1"/>
    </xf>
    <xf numFmtId="164" fontId="7" fillId="2" borderId="36" xfId="0" applyNumberFormat="1" applyFont="1" applyFill="1" applyBorder="1" applyAlignment="1">
      <alignment horizontal="left" vertical="center" wrapText="1"/>
    </xf>
    <xf numFmtId="1" fontId="7" fillId="2" borderId="37" xfId="0" applyNumberFormat="1" applyFont="1" applyFill="1" applyBorder="1" applyAlignment="1">
      <alignment horizontal="left" vertical="center" wrapText="1"/>
    </xf>
    <xf numFmtId="1" fontId="7" fillId="2" borderId="38" xfId="0" applyNumberFormat="1" applyFont="1" applyFill="1" applyBorder="1" applyAlignment="1">
      <alignment horizontal="left" vertical="center" wrapText="1"/>
    </xf>
    <xf numFmtId="0" fontId="17" fillId="6" borderId="12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1" fontId="7" fillId="8" borderId="13" xfId="0" applyNumberFormat="1" applyFont="1" applyFill="1" applyBorder="1" applyAlignment="1">
      <alignment horizontal="left" vertical="center" wrapText="1"/>
    </xf>
    <xf numFmtId="1" fontId="7" fillId="9" borderId="0" xfId="0" applyNumberFormat="1" applyFont="1" applyFill="1" applyAlignment="1">
      <alignment horizontal="left" vertical="center" wrapText="1"/>
    </xf>
    <xf numFmtId="1" fontId="7" fillId="9" borderId="9" xfId="0" applyNumberFormat="1" applyFont="1" applyFill="1" applyBorder="1" applyAlignment="1">
      <alignment horizontal="left" vertical="center" wrapText="1"/>
    </xf>
    <xf numFmtId="1" fontId="7" fillId="9" borderId="0" xfId="0" applyNumberFormat="1" applyFont="1" applyFill="1" applyAlignment="1">
      <alignment vertical="center" wrapText="1"/>
    </xf>
    <xf numFmtId="1" fontId="7" fillId="9" borderId="18" xfId="0" applyNumberFormat="1" applyFont="1" applyFill="1" applyBorder="1" applyAlignment="1">
      <alignment vertical="center" wrapText="1"/>
    </xf>
    <xf numFmtId="164" fontId="11" fillId="6" borderId="0" xfId="0" applyNumberFormat="1" applyFont="1" applyFill="1" applyAlignment="1">
      <alignment horizontal="center" vertical="center"/>
    </xf>
    <xf numFmtId="0" fontId="7" fillId="9" borderId="14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/>
    </xf>
    <xf numFmtId="0" fontId="2" fillId="10" borderId="42" xfId="0" applyFont="1" applyFill="1" applyBorder="1" applyAlignment="1">
      <alignment horizontal="center" vertical="center" wrapText="1"/>
    </xf>
    <xf numFmtId="0" fontId="2" fillId="10" borderId="43" xfId="0" applyFont="1" applyFill="1" applyBorder="1" applyAlignment="1">
      <alignment horizontal="center" vertical="center" wrapText="1"/>
    </xf>
    <xf numFmtId="0" fontId="2" fillId="10" borderId="44" xfId="0" applyFont="1" applyFill="1" applyBorder="1" applyAlignment="1">
      <alignment horizontal="center" vertical="center" wrapText="1"/>
    </xf>
    <xf numFmtId="0" fontId="2" fillId="10" borderId="45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0" fontId="2" fillId="10" borderId="46" xfId="0" applyFont="1" applyFill="1" applyBorder="1" applyAlignment="1">
      <alignment horizontal="center" vertical="center" wrapText="1"/>
    </xf>
    <xf numFmtId="0" fontId="2" fillId="10" borderId="47" xfId="0" applyFont="1" applyFill="1" applyBorder="1" applyAlignment="1">
      <alignment horizontal="center" vertical="center" wrapText="1"/>
    </xf>
    <xf numFmtId="0" fontId="2" fillId="10" borderId="48" xfId="0" applyFont="1" applyFill="1" applyBorder="1" applyAlignment="1">
      <alignment horizontal="center" vertical="center" wrapText="1"/>
    </xf>
    <xf numFmtId="0" fontId="2" fillId="10" borderId="49" xfId="0" applyFont="1" applyFill="1" applyBorder="1" applyAlignment="1">
      <alignment horizontal="center" vertical="center" wrapText="1"/>
    </xf>
    <xf numFmtId="0" fontId="2" fillId="11" borderId="50" xfId="0" applyFont="1" applyFill="1" applyBorder="1" applyAlignment="1">
      <alignment horizontal="center" vertical="center" wrapText="1"/>
    </xf>
    <xf numFmtId="0" fontId="2" fillId="11" borderId="51" xfId="0" applyFont="1" applyFill="1" applyBorder="1" applyAlignment="1">
      <alignment horizontal="center" vertical="center" wrapText="1"/>
    </xf>
    <xf numFmtId="0" fontId="2" fillId="11" borderId="52" xfId="0" applyFont="1" applyFill="1" applyBorder="1" applyAlignment="1">
      <alignment horizontal="center" vertical="center" wrapText="1"/>
    </xf>
    <xf numFmtId="0" fontId="2" fillId="11" borderId="53" xfId="0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2" fillId="11" borderId="46" xfId="0" applyFont="1" applyFill="1" applyBorder="1" applyAlignment="1">
      <alignment horizontal="center" vertical="center" wrapText="1"/>
    </xf>
    <xf numFmtId="0" fontId="2" fillId="11" borderId="54" xfId="0" applyFont="1" applyFill="1" applyBorder="1" applyAlignment="1">
      <alignment horizontal="center" vertical="center" wrapText="1"/>
    </xf>
    <xf numFmtId="0" fontId="2" fillId="11" borderId="48" xfId="0" applyFont="1" applyFill="1" applyBorder="1" applyAlignment="1">
      <alignment horizontal="center" vertical="center" wrapText="1"/>
    </xf>
    <xf numFmtId="0" fontId="2" fillId="11" borderId="49" xfId="0" applyFont="1" applyFill="1" applyBorder="1" applyAlignment="1">
      <alignment horizontal="center" vertical="center" wrapText="1"/>
    </xf>
    <xf numFmtId="0" fontId="2" fillId="12" borderId="55" xfId="0" applyFont="1" applyFill="1" applyBorder="1" applyAlignment="1">
      <alignment horizontal="center" vertical="center" wrapText="1"/>
    </xf>
    <xf numFmtId="0" fontId="2" fillId="12" borderId="56" xfId="0" applyFont="1" applyFill="1" applyBorder="1" applyAlignment="1">
      <alignment horizontal="center" vertical="center" wrapText="1"/>
    </xf>
    <xf numFmtId="0" fontId="2" fillId="12" borderId="57" xfId="0" applyFont="1" applyFill="1" applyBorder="1" applyAlignment="1">
      <alignment horizontal="center" vertical="center" wrapText="1"/>
    </xf>
    <xf numFmtId="0" fontId="2" fillId="12" borderId="58" xfId="0" applyFont="1" applyFill="1" applyBorder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0" fontId="2" fillId="12" borderId="46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horizontal="center" vertical="center" wrapText="1"/>
    </xf>
    <xf numFmtId="0" fontId="2" fillId="12" borderId="48" xfId="0" applyFont="1" applyFill="1" applyBorder="1" applyAlignment="1">
      <alignment horizontal="center" vertical="center" wrapText="1"/>
    </xf>
    <xf numFmtId="0" fontId="2" fillId="12" borderId="49" xfId="0" applyFont="1" applyFill="1" applyBorder="1" applyAlignment="1">
      <alignment horizontal="center" vertical="center" wrapText="1"/>
    </xf>
    <xf numFmtId="0" fontId="2" fillId="13" borderId="60" xfId="0" applyFont="1" applyFill="1" applyBorder="1" applyAlignment="1">
      <alignment horizontal="center" vertical="center" wrapText="1"/>
    </xf>
    <xf numFmtId="0" fontId="2" fillId="13" borderId="61" xfId="0" applyFont="1" applyFill="1" applyBorder="1" applyAlignment="1">
      <alignment horizontal="center" vertical="center" wrapText="1"/>
    </xf>
    <xf numFmtId="0" fontId="2" fillId="13" borderId="62" xfId="0" applyFont="1" applyFill="1" applyBorder="1" applyAlignment="1">
      <alignment horizontal="center" vertical="center" wrapText="1"/>
    </xf>
    <xf numFmtId="0" fontId="2" fillId="13" borderId="63" xfId="0" applyFont="1" applyFill="1" applyBorder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0" fontId="2" fillId="13" borderId="46" xfId="0" applyFont="1" applyFill="1" applyBorder="1" applyAlignment="1">
      <alignment horizontal="center" vertical="center" wrapText="1"/>
    </xf>
    <xf numFmtId="0" fontId="2" fillId="13" borderId="64" xfId="0" applyFont="1" applyFill="1" applyBorder="1" applyAlignment="1">
      <alignment horizontal="center" vertical="center" wrapText="1"/>
    </xf>
    <xf numFmtId="0" fontId="2" fillId="13" borderId="48" xfId="0" applyFont="1" applyFill="1" applyBorder="1" applyAlignment="1">
      <alignment horizontal="center" vertical="center" wrapText="1"/>
    </xf>
    <xf numFmtId="0" fontId="2" fillId="13" borderId="49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 wrapText="1"/>
    </xf>
    <xf numFmtId="0" fontId="19" fillId="5" borderId="0" xfId="0" applyFont="1" applyFill="1" applyAlignment="1">
      <alignment horizontal="right" vertical="center" wrapText="1"/>
    </xf>
    <xf numFmtId="0" fontId="4" fillId="5" borderId="0" xfId="0" applyFont="1" applyFill="1" applyAlignment="1">
      <alignment horizontal="right" vertical="center" wrapText="1"/>
    </xf>
    <xf numFmtId="0" fontId="5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2" fillId="5" borderId="30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left" vertical="center"/>
    </xf>
    <xf numFmtId="0" fontId="11" fillId="6" borderId="20" xfId="0" applyFont="1" applyFill="1" applyBorder="1" applyAlignment="1">
      <alignment horizontal="left" vertical="center" wrapText="1"/>
    </xf>
    <xf numFmtId="0" fontId="11" fillId="6" borderId="0" xfId="0" applyFont="1" applyFill="1" applyAlignment="1">
      <alignment horizontal="left" vertical="center" wrapText="1"/>
    </xf>
    <xf numFmtId="0" fontId="11" fillId="6" borderId="21" xfId="0" applyFont="1" applyFill="1" applyBorder="1" applyAlignment="1">
      <alignment horizontal="left" vertical="center" wrapText="1"/>
    </xf>
    <xf numFmtId="0" fontId="11" fillId="6" borderId="2" xfId="0" applyFont="1" applyFill="1" applyBorder="1" applyAlignment="1">
      <alignment horizontal="left" vertical="center" wrapText="1"/>
    </xf>
    <xf numFmtId="0" fontId="11" fillId="6" borderId="3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2" fillId="6" borderId="7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center" vertical="center" wrapText="1"/>
    </xf>
    <xf numFmtId="0" fontId="16" fillId="6" borderId="0" xfId="0" applyFont="1" applyFill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center" vertical="center" wrapText="1"/>
    </xf>
    <xf numFmtId="0" fontId="8" fillId="6" borderId="14" xfId="0" applyFont="1" applyFill="1" applyBorder="1" applyAlignment="1">
      <alignment horizontal="center" vertical="center" wrapText="1"/>
    </xf>
    <xf numFmtId="0" fontId="8" fillId="6" borderId="15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8" fillId="6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>
      <alignment horizontal="center" vertical="center" wrapText="1"/>
    </xf>
    <xf numFmtId="0" fontId="8" fillId="6" borderId="19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28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5" borderId="16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8" fillId="5" borderId="32" xfId="0" applyFont="1" applyFill="1" applyBorder="1" applyAlignment="1">
      <alignment horizontal="center" vertical="center" wrapText="1"/>
    </xf>
    <xf numFmtId="0" fontId="8" fillId="5" borderId="18" xfId="0" applyFont="1" applyFill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center" vertical="center" wrapText="1"/>
    </xf>
    <xf numFmtId="0" fontId="8" fillId="7" borderId="12" xfId="0" applyFont="1" applyFill="1" applyBorder="1" applyAlignment="1">
      <alignment horizontal="center" vertical="center" wrapText="1"/>
    </xf>
    <xf numFmtId="0" fontId="8" fillId="7" borderId="13" xfId="0" applyFont="1" applyFill="1" applyBorder="1" applyAlignment="1">
      <alignment horizontal="center" vertical="center" wrapText="1"/>
    </xf>
    <xf numFmtId="0" fontId="8" fillId="7" borderId="14" xfId="0" applyFont="1" applyFill="1" applyBorder="1" applyAlignment="1">
      <alignment horizontal="center" vertical="center" wrapText="1"/>
    </xf>
    <xf numFmtId="0" fontId="8" fillId="7" borderId="15" xfId="0" applyFont="1" applyFill="1" applyBorder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8" fillId="7" borderId="16" xfId="0" applyFont="1" applyFill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center" vertical="center" wrapText="1"/>
    </xf>
    <xf numFmtId="0" fontId="8" fillId="7" borderId="18" xfId="0" applyFont="1" applyFill="1" applyBorder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21" fillId="5" borderId="0" xfId="0" applyFont="1" applyFill="1" applyAlignment="1">
      <alignment horizontal="right" vertical="center" wrapText="1"/>
    </xf>
    <xf numFmtId="0" fontId="18" fillId="5" borderId="0" xfId="0" applyFont="1" applyFill="1" applyAlignment="1">
      <alignment horizontal="right" vertical="center" wrapText="1"/>
    </xf>
    <xf numFmtId="0" fontId="18" fillId="5" borderId="16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 wrapText="1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14" fillId="6" borderId="7" xfId="0" applyFont="1" applyFill="1" applyBorder="1" applyAlignment="1">
      <alignment horizontal="center" vertical="center" wrapText="1"/>
    </xf>
    <xf numFmtId="164" fontId="14" fillId="6" borderId="0" xfId="0" applyNumberFormat="1" applyFont="1" applyFill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7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21" fillId="5" borderId="0" xfId="0" applyFont="1" applyFill="1" applyAlignment="1">
      <alignment horizontal="left" vertical="center" wrapText="1"/>
    </xf>
    <xf numFmtId="0" fontId="18" fillId="5" borderId="0" xfId="0" applyFont="1" applyFill="1" applyAlignment="1">
      <alignment horizontal="left" vertical="center" wrapText="1"/>
    </xf>
    <xf numFmtId="0" fontId="18" fillId="5" borderId="16" xfId="0" applyFont="1" applyFill="1" applyBorder="1" applyAlignment="1">
      <alignment horizontal="left" vertical="center" wrapText="1"/>
    </xf>
    <xf numFmtId="0" fontId="19" fillId="5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20" fillId="5" borderId="0" xfId="0" applyFont="1" applyFill="1" applyAlignment="1">
      <alignment horizontal="left" vertical="center" wrapText="1"/>
    </xf>
    <xf numFmtId="0" fontId="12" fillId="5" borderId="5" xfId="0" applyFont="1" applyFill="1" applyBorder="1" applyAlignment="1">
      <alignment horizontal="left" vertical="center" wrapText="1"/>
    </xf>
    <xf numFmtId="0" fontId="12" fillId="5" borderId="6" xfId="0" applyFont="1" applyFill="1" applyBorder="1" applyAlignment="1">
      <alignment horizontal="left" vertical="center" wrapText="1"/>
    </xf>
    <xf numFmtId="0" fontId="12" fillId="5" borderId="22" xfId="0" applyFont="1" applyFill="1" applyBorder="1" applyAlignment="1">
      <alignment horizontal="left" vertical="center" wrapText="1"/>
    </xf>
    <xf numFmtId="0" fontId="12" fillId="5" borderId="7" xfId="0" applyFont="1" applyFill="1" applyBorder="1" applyAlignment="1">
      <alignment horizontal="left" vertical="center" wrapText="1"/>
    </xf>
    <xf numFmtId="0" fontId="12" fillId="5" borderId="0" xfId="0" applyFont="1" applyFill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 wrapText="1"/>
    </xf>
    <xf numFmtId="0" fontId="12" fillId="5" borderId="23" xfId="0" applyFont="1" applyFill="1" applyBorder="1" applyAlignment="1">
      <alignment horizontal="left" vertical="center" wrapText="1"/>
    </xf>
    <xf numFmtId="0" fontId="20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164" fontId="12" fillId="5" borderId="5" xfId="0" applyNumberFormat="1" applyFont="1" applyFill="1" applyBorder="1" applyAlignment="1">
      <alignment horizontal="left" vertical="center" wrapText="1"/>
    </xf>
    <xf numFmtId="164" fontId="12" fillId="5" borderId="0" xfId="0" applyNumberFormat="1" applyFont="1" applyFill="1" applyAlignment="1">
      <alignment horizontal="left" vertical="center" wrapText="1"/>
    </xf>
    <xf numFmtId="0" fontId="22" fillId="5" borderId="0" xfId="0" applyFont="1" applyFill="1" applyAlignment="1">
      <alignment horizontal="left" vertical="center" wrapText="1"/>
    </xf>
    <xf numFmtId="0" fontId="23" fillId="5" borderId="0" xfId="0" applyFont="1" applyFill="1" applyAlignment="1">
      <alignment horizontal="left" vertical="center" wrapText="1"/>
    </xf>
    <xf numFmtId="0" fontId="23" fillId="5" borderId="16" xfId="0" applyFont="1" applyFill="1" applyBorder="1" applyAlignment="1">
      <alignment horizontal="left" vertical="center" wrapText="1"/>
    </xf>
    <xf numFmtId="0" fontId="24" fillId="6" borderId="17" xfId="0" applyFont="1" applyFill="1" applyBorder="1" applyAlignment="1">
      <alignment horizontal="center" vertical="center" wrapText="1"/>
    </xf>
    <xf numFmtId="0" fontId="25" fillId="5" borderId="0" xfId="0" applyFont="1" applyFill="1" applyAlignment="1">
      <alignment horizontal="right" vertical="center" wrapText="1"/>
    </xf>
    <xf numFmtId="0" fontId="11" fillId="14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ont>
        <b/>
        <color rgb="FF50BE87"/>
      </font>
      <fill>
        <patternFill>
          <bgColor rgb="FFEAF8F1"/>
        </patternFill>
      </fill>
    </dxf>
    <dxf>
      <font>
        <b/>
        <color rgb="FFFF7900"/>
      </font>
      <fill>
        <patternFill>
          <bgColor rgb="FFFFF3E8"/>
        </patternFill>
      </fill>
    </dxf>
    <dxf>
      <font>
        <b/>
        <color rgb="FFFF7900"/>
      </font>
      <fill>
        <patternFill>
          <bgColor rgb="FFFFF3E8"/>
        </patternFill>
      </fill>
    </dxf>
    <dxf>
      <font>
        <b/>
        <color rgb="FFFF7900"/>
      </font>
      <fill>
        <patternFill>
          <bgColor rgb="FFFFF3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114300</xdr:colOff>
      <xdr:row>1</xdr:row>
      <xdr:rowOff>57150</xdr:rowOff>
    </xdr:from>
    <xdr:ext cx="3429000" cy="1304925"/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topLeftCell="A7" workbookViewId="0">
      <selection activeCell="B25" sqref="B25:E27"/>
    </sheetView>
  </sheetViews>
  <sheetFormatPr defaultRowHeight="13.8"/>
  <cols>
    <col min="1" max="1" width="4" customWidth="1"/>
    <col min="2" max="11" width="14" customWidth="1"/>
    <col min="12" max="12" width="4" customWidth="1"/>
  </cols>
  <sheetData>
    <row r="1" spans="1:12" ht="13.35" customHeight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ht="13.3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 ht="13.3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ht="13.3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13.3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ht="13.3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13.3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 ht="13.3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1:12" ht="13.3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ht="13.3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4"/>
      <c r="L10" s="4"/>
    </row>
    <row r="11" spans="1:12" ht="16.649999999999999" customHeight="1">
      <c r="A11" s="1"/>
      <c r="B11" s="144" t="s">
        <v>0</v>
      </c>
      <c r="C11" s="144"/>
      <c r="D11" s="144"/>
      <c r="E11" s="144"/>
      <c r="F11" s="144"/>
      <c r="G11" s="144"/>
      <c r="H11" s="144"/>
      <c r="I11" s="144"/>
      <c r="J11" s="144"/>
      <c r="K11" s="144"/>
      <c r="L11" s="4"/>
    </row>
    <row r="12" spans="1:12" ht="16.649999999999999" customHeight="1">
      <c r="A12" s="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4"/>
    </row>
    <row r="13" spans="1:12" ht="16.649999999999999" customHeight="1">
      <c r="A13" s="2"/>
      <c r="B13" s="145"/>
      <c r="C13" s="145"/>
      <c r="D13" s="145"/>
      <c r="E13" s="145"/>
      <c r="F13" s="145"/>
      <c r="G13" s="145"/>
      <c r="H13" s="145"/>
      <c r="I13" s="145"/>
      <c r="J13" s="145"/>
      <c r="K13" s="144"/>
      <c r="L13" s="4"/>
    </row>
    <row r="14" spans="1:12" ht="13.35" customHeight="1">
      <c r="A14" s="2"/>
      <c r="B14" s="146" t="s">
        <v>1</v>
      </c>
      <c r="C14" s="147"/>
      <c r="D14" s="147"/>
      <c r="E14" s="147"/>
      <c r="F14" s="147"/>
      <c r="G14" s="147"/>
      <c r="H14" s="147"/>
      <c r="I14" s="147"/>
      <c r="J14" s="147"/>
      <c r="K14" s="147"/>
      <c r="L14" s="4"/>
    </row>
    <row r="15" spans="1:12" ht="13.35" customHeight="1">
      <c r="A15" s="2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4"/>
    </row>
    <row r="16" spans="1:12" ht="13.3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</row>
    <row r="17" spans="1:12" ht="16.649999999999999" customHeight="1">
      <c r="A17" s="4"/>
      <c r="B17" s="148" t="s">
        <v>2</v>
      </c>
      <c r="C17" s="148"/>
      <c r="D17" s="148"/>
      <c r="E17" s="148"/>
      <c r="F17" s="148"/>
      <c r="G17" s="148"/>
      <c r="H17" s="148"/>
      <c r="I17" s="148"/>
      <c r="J17" s="148"/>
      <c r="K17" s="148"/>
      <c r="L17" s="4"/>
    </row>
    <row r="18" spans="1:12" ht="16.649999999999999" customHeight="1">
      <c r="A18" s="2"/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4"/>
    </row>
    <row r="19" spans="1:12" ht="13.3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</row>
    <row r="20" spans="1:12" ht="13.35" customHeight="1">
      <c r="A20" s="4"/>
      <c r="B20" s="149" t="s">
        <v>3</v>
      </c>
      <c r="C20" s="149"/>
      <c r="D20" s="149"/>
      <c r="E20" s="149"/>
      <c r="F20" s="149"/>
      <c r="G20" s="149"/>
      <c r="H20" s="149"/>
      <c r="I20" s="149"/>
      <c r="J20" s="149"/>
      <c r="K20" s="149"/>
      <c r="L20" s="4"/>
    </row>
    <row r="21" spans="1:12" ht="13.3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4"/>
      <c r="L21" s="4"/>
    </row>
    <row r="22" spans="1:12" ht="13.3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 ht="13.35" customHeight="1">
      <c r="A23" s="4"/>
      <c r="B23" s="150" t="s">
        <v>4</v>
      </c>
      <c r="C23" s="150"/>
      <c r="D23" s="150"/>
      <c r="E23" s="150"/>
      <c r="F23" s="150"/>
      <c r="G23" s="150"/>
      <c r="H23" s="150"/>
      <c r="I23" s="150"/>
      <c r="J23" s="150"/>
      <c r="K23" s="150"/>
      <c r="L23" s="4"/>
    </row>
    <row r="24" spans="1:12" ht="13.35" customHeight="1">
      <c r="A24" s="4"/>
      <c r="B24" s="3"/>
      <c r="C24" s="3"/>
      <c r="D24" s="3"/>
      <c r="E24" s="3"/>
      <c r="F24" s="3"/>
      <c r="G24" s="3"/>
      <c r="H24" s="3"/>
      <c r="I24" s="3"/>
      <c r="J24" s="4"/>
      <c r="K24" s="4"/>
      <c r="L24" s="4"/>
    </row>
    <row r="25" spans="1:12" ht="17.850000000000001" customHeight="1">
      <c r="A25" s="4"/>
      <c r="B25" s="108" t="s">
        <v>5</v>
      </c>
      <c r="C25" s="109" t="s">
        <v>6</v>
      </c>
      <c r="D25" s="109"/>
      <c r="E25" s="110"/>
      <c r="F25" s="3"/>
      <c r="G25" s="117" t="s">
        <v>7</v>
      </c>
      <c r="H25" s="118" t="s">
        <v>8</v>
      </c>
      <c r="I25" s="118"/>
      <c r="J25" s="119"/>
      <c r="K25" s="4"/>
      <c r="L25" s="4"/>
    </row>
    <row r="26" spans="1:12" ht="17.850000000000001" customHeight="1">
      <c r="A26" s="4"/>
      <c r="B26" s="111"/>
      <c r="C26" s="112" t="s">
        <v>9</v>
      </c>
      <c r="D26" s="112"/>
      <c r="E26" s="113"/>
      <c r="F26" s="3"/>
      <c r="G26" s="120"/>
      <c r="H26" s="121" t="s">
        <v>10</v>
      </c>
      <c r="I26" s="121"/>
      <c r="J26" s="122"/>
      <c r="K26" s="4"/>
      <c r="L26" s="4"/>
    </row>
    <row r="27" spans="1:12" ht="17.850000000000001" customHeight="1">
      <c r="A27" s="4"/>
      <c r="B27" s="114"/>
      <c r="C27" s="115" t="s">
        <v>11</v>
      </c>
      <c r="D27" s="115"/>
      <c r="E27" s="116"/>
      <c r="F27" s="3"/>
      <c r="G27" s="123"/>
      <c r="H27" s="124" t="s">
        <v>12</v>
      </c>
      <c r="I27" s="124"/>
      <c r="J27" s="125"/>
      <c r="K27" s="4"/>
      <c r="L27" s="4"/>
    </row>
    <row r="28" spans="1:12" ht="13.3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 ht="17.850000000000001" customHeight="1">
      <c r="A29" s="4"/>
      <c r="B29" s="126" t="s">
        <v>341</v>
      </c>
      <c r="C29" s="127" t="s">
        <v>13</v>
      </c>
      <c r="D29" s="127"/>
      <c r="E29" s="128"/>
      <c r="F29" s="4"/>
      <c r="G29" s="135" t="s">
        <v>14</v>
      </c>
      <c r="H29" s="136" t="s">
        <v>15</v>
      </c>
      <c r="I29" s="136"/>
      <c r="J29" s="137"/>
      <c r="K29" s="4"/>
      <c r="L29" s="4"/>
    </row>
    <row r="30" spans="1:12" ht="17.850000000000001" customHeight="1">
      <c r="A30" s="1"/>
      <c r="B30" s="129"/>
      <c r="C30" s="130" t="s">
        <v>16</v>
      </c>
      <c r="D30" s="130"/>
      <c r="E30" s="131"/>
      <c r="F30" s="1"/>
      <c r="G30" s="138"/>
      <c r="H30" s="139" t="s">
        <v>17</v>
      </c>
      <c r="I30" s="139"/>
      <c r="J30" s="140"/>
      <c r="K30" s="4"/>
      <c r="L30" s="4"/>
    </row>
    <row r="31" spans="1:12" ht="17.850000000000001" customHeight="1">
      <c r="A31" s="4"/>
      <c r="B31" s="132"/>
      <c r="C31" s="133" t="s">
        <v>18</v>
      </c>
      <c r="D31" s="133"/>
      <c r="E31" s="134"/>
      <c r="F31" s="4"/>
      <c r="G31" s="141"/>
      <c r="H31" s="142" t="s">
        <v>19</v>
      </c>
      <c r="I31" s="142"/>
      <c r="J31" s="143"/>
      <c r="K31" s="4"/>
      <c r="L31" s="4"/>
    </row>
    <row r="32" spans="1:12" ht="13.3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spans="1:12" ht="13.3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 ht="13.35" customHeight="1">
      <c r="A34" s="4"/>
      <c r="B34" s="107" t="s">
        <v>20</v>
      </c>
      <c r="C34" s="107"/>
      <c r="D34" s="107"/>
      <c r="E34" s="107"/>
      <c r="F34" s="107"/>
      <c r="G34" s="107"/>
      <c r="H34" s="107"/>
      <c r="I34" s="107"/>
      <c r="J34" s="107"/>
      <c r="K34" s="107"/>
      <c r="L34" s="4"/>
    </row>
    <row r="35" spans="1:12" ht="13.3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1:12" ht="13.3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</sheetData>
  <mergeCells count="10">
    <mergeCell ref="B11:K13"/>
    <mergeCell ref="B14:K15"/>
    <mergeCell ref="B17:K18"/>
    <mergeCell ref="B20:K20"/>
    <mergeCell ref="B23:K23"/>
    <mergeCell ref="B34:K34"/>
    <mergeCell ref="B25:E27"/>
    <mergeCell ref="G25:J27"/>
    <mergeCell ref="B29:E31"/>
    <mergeCell ref="G29:J3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8"/>
  <sheetViews>
    <sheetView workbookViewId="0">
      <selection activeCell="A23" sqref="A23:E24"/>
    </sheetView>
  </sheetViews>
  <sheetFormatPr defaultRowHeight="13.8"/>
  <cols>
    <col min="1" max="1" width="5" customWidth="1"/>
    <col min="2" max="2" width="10" customWidth="1"/>
    <col min="3" max="3" width="24" customWidth="1"/>
    <col min="4" max="4" width="18" customWidth="1"/>
    <col min="5" max="5" width="44" customWidth="1"/>
    <col min="6" max="10" width="8" customWidth="1"/>
  </cols>
  <sheetData>
    <row r="1" spans="1:10">
      <c r="A1" s="153" t="s">
        <v>21</v>
      </c>
      <c r="B1" s="153"/>
      <c r="C1" s="153"/>
      <c r="D1" s="153"/>
      <c r="E1" s="153"/>
      <c r="F1" s="153"/>
      <c r="G1" s="153"/>
      <c r="H1" s="153"/>
      <c r="I1" s="153"/>
      <c r="J1" s="153"/>
    </row>
    <row r="2" spans="1:10">
      <c r="A2" s="153"/>
      <c r="B2" s="153"/>
      <c r="C2" s="153"/>
      <c r="D2" s="153"/>
      <c r="E2" s="153"/>
      <c r="F2" s="153"/>
      <c r="G2" s="153"/>
      <c r="H2" s="153"/>
      <c r="I2" s="153"/>
      <c r="J2" s="153"/>
    </row>
    <row r="3" spans="1:10" ht="18.600000000000001" customHeight="1">
      <c r="A3" s="226" t="s">
        <v>22</v>
      </c>
      <c r="B3" s="227"/>
      <c r="C3" s="227"/>
      <c r="D3" s="227"/>
      <c r="E3" s="227"/>
      <c r="F3" s="227"/>
      <c r="G3" s="227"/>
      <c r="H3" s="227"/>
      <c r="I3" s="227"/>
      <c r="J3" s="227"/>
    </row>
    <row r="4" spans="1:10" ht="3.9" customHeight="1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>
      <c r="A5" s="154" t="s">
        <v>23</v>
      </c>
      <c r="B5" s="155"/>
      <c r="C5" s="155"/>
      <c r="D5" s="155"/>
      <c r="E5" s="155"/>
      <c r="F5" s="155"/>
      <c r="G5" s="155"/>
      <c r="H5" s="155"/>
      <c r="I5" s="155"/>
      <c r="J5" s="155"/>
    </row>
    <row r="6" spans="1:10">
      <c r="A6" s="156"/>
      <c r="B6" s="157"/>
      <c r="C6" s="157"/>
      <c r="D6" s="158"/>
      <c r="E6" s="155"/>
      <c r="F6" s="155"/>
      <c r="G6" s="155"/>
      <c r="H6" s="155"/>
      <c r="I6" s="155"/>
      <c r="J6" s="155"/>
    </row>
    <row r="7" spans="1:10">
      <c r="A7" s="228" t="s">
        <v>24</v>
      </c>
      <c r="B7" s="229"/>
      <c r="C7" s="229"/>
      <c r="D7" s="230"/>
      <c r="E7" s="229"/>
      <c r="F7" s="229"/>
      <c r="G7" s="229"/>
      <c r="H7" s="229"/>
      <c r="I7" s="229"/>
      <c r="J7" s="231"/>
    </row>
    <row r="8" spans="1:10">
      <c r="A8" s="232"/>
      <c r="B8" s="233"/>
      <c r="C8" s="233"/>
      <c r="D8" s="234"/>
      <c r="E8" s="233"/>
      <c r="F8" s="233"/>
      <c r="G8" s="233"/>
      <c r="H8" s="233"/>
      <c r="I8" s="233"/>
      <c r="J8" s="235"/>
    </row>
    <row r="9" spans="1:10">
      <c r="A9" s="12"/>
      <c r="B9" s="13"/>
      <c r="C9" s="14"/>
      <c r="D9" s="15"/>
      <c r="E9" s="4"/>
      <c r="F9" s="4"/>
      <c r="G9" s="4"/>
      <c r="H9" s="4"/>
      <c r="I9" s="4"/>
      <c r="J9" s="4"/>
    </row>
    <row r="10" spans="1:10" ht="20.55" customHeight="1">
      <c r="A10" s="16" t="s">
        <v>25</v>
      </c>
      <c r="B10" s="17" t="s">
        <v>26</v>
      </c>
      <c r="C10" s="17" t="s">
        <v>27</v>
      </c>
      <c r="D10" s="18" t="s">
        <v>28</v>
      </c>
      <c r="E10" s="19" t="s">
        <v>29</v>
      </c>
      <c r="F10" s="4"/>
      <c r="G10" s="4"/>
      <c r="H10" s="4"/>
      <c r="I10" s="4"/>
      <c r="J10" s="4"/>
    </row>
    <row r="11" spans="1:10" ht="20.55" customHeight="1">
      <c r="A11" s="48">
        <v>1</v>
      </c>
      <c r="B11" s="44" t="s">
        <v>30</v>
      </c>
      <c r="C11" s="28" t="s">
        <v>31</v>
      </c>
      <c r="D11" s="29" t="s">
        <v>32</v>
      </c>
      <c r="E11" s="32" t="s">
        <v>33</v>
      </c>
      <c r="F11" s="4"/>
      <c r="G11" s="4"/>
      <c r="H11" s="4"/>
      <c r="I11" s="4"/>
      <c r="J11" s="4"/>
    </row>
    <row r="12" spans="1:10" ht="20.55" customHeight="1">
      <c r="A12" s="49">
        <v>2</v>
      </c>
      <c r="B12" s="45" t="s">
        <v>34</v>
      </c>
      <c r="C12" s="21" t="s">
        <v>35</v>
      </c>
      <c r="D12" s="22" t="s">
        <v>36</v>
      </c>
      <c r="E12" s="33" t="s">
        <v>37</v>
      </c>
      <c r="F12" s="4"/>
      <c r="G12" s="4"/>
      <c r="H12" s="4"/>
      <c r="I12" s="4"/>
      <c r="J12" s="4"/>
    </row>
    <row r="13" spans="1:10" ht="20.55" customHeight="1">
      <c r="A13" s="50">
        <v>3</v>
      </c>
      <c r="B13" s="46" t="s">
        <v>38</v>
      </c>
      <c r="C13" s="24" t="s">
        <v>39</v>
      </c>
      <c r="D13" s="25" t="s">
        <v>40</v>
      </c>
      <c r="E13" s="33" t="s">
        <v>41</v>
      </c>
      <c r="F13" s="4"/>
      <c r="G13" s="4"/>
      <c r="H13" s="4"/>
      <c r="I13" s="4"/>
      <c r="J13" s="4"/>
    </row>
    <row r="14" spans="1:10" ht="20.55" customHeight="1">
      <c r="A14" s="49">
        <v>4</v>
      </c>
      <c r="B14" s="45" t="s">
        <v>42</v>
      </c>
      <c r="C14" s="35" t="s">
        <v>43</v>
      </c>
      <c r="D14" s="35" t="s">
        <v>44</v>
      </c>
      <c r="E14" s="33" t="s">
        <v>45</v>
      </c>
      <c r="F14" s="4"/>
      <c r="G14" s="4"/>
      <c r="H14" s="4"/>
      <c r="I14" s="4"/>
      <c r="J14" s="4"/>
    </row>
    <row r="15" spans="1:10" ht="20.55" customHeight="1">
      <c r="A15" s="51">
        <v>5</v>
      </c>
      <c r="B15" s="47" t="s">
        <v>46</v>
      </c>
      <c r="C15" s="37" t="s">
        <v>47</v>
      </c>
      <c r="D15" s="37" t="s">
        <v>48</v>
      </c>
      <c r="E15" s="38" t="s">
        <v>49</v>
      </c>
      <c r="F15" s="4"/>
      <c r="G15" s="4"/>
      <c r="H15" s="4"/>
      <c r="I15" s="4"/>
      <c r="J15" s="4"/>
    </row>
    <row r="16" spans="1:10">
      <c r="A16" s="4"/>
      <c r="B16" s="4"/>
      <c r="C16" s="4"/>
      <c r="D16" s="4"/>
      <c r="E16" s="4"/>
      <c r="F16" s="4"/>
      <c r="G16" s="4"/>
      <c r="H16" s="4"/>
      <c r="I16" s="4"/>
      <c r="J16" s="4"/>
    </row>
    <row r="17" spans="1:10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spans="1:10">
      <c r="A18" s="159" t="s">
        <v>50</v>
      </c>
      <c r="B18" s="159"/>
      <c r="C18" s="159"/>
      <c r="D18" s="159"/>
      <c r="E18" s="159"/>
      <c r="F18" s="4"/>
      <c r="G18" s="4"/>
      <c r="H18" s="4"/>
      <c r="I18" s="4"/>
      <c r="J18" s="4"/>
    </row>
    <row r="19" spans="1:10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spans="1:10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spans="1:10">
      <c r="A21" s="151" t="s">
        <v>51</v>
      </c>
      <c r="B21" s="152"/>
      <c r="C21" s="152"/>
      <c r="D21" s="152"/>
      <c r="E21" s="152"/>
      <c r="F21" s="4"/>
      <c r="G21" s="4"/>
      <c r="H21" s="4"/>
      <c r="I21" s="4"/>
      <c r="J21" s="4"/>
    </row>
    <row r="22" spans="1:10">
      <c r="A22" s="151"/>
      <c r="B22" s="152"/>
      <c r="C22" s="152"/>
      <c r="D22" s="152"/>
      <c r="E22" s="152"/>
      <c r="F22" s="4"/>
      <c r="G22" s="4"/>
      <c r="H22" s="4"/>
      <c r="I22" s="4"/>
      <c r="J22" s="4"/>
    </row>
    <row r="23" spans="1:10">
      <c r="A23" s="236" t="s">
        <v>52</v>
      </c>
      <c r="B23" s="237"/>
      <c r="C23" s="237"/>
      <c r="D23" s="237"/>
      <c r="E23" s="237"/>
      <c r="F23" s="4"/>
      <c r="G23" s="4"/>
      <c r="H23" s="4"/>
      <c r="I23" s="4"/>
      <c r="J23" s="4"/>
    </row>
    <row r="24" spans="1:10">
      <c r="A24" s="237"/>
      <c r="B24" s="237"/>
      <c r="C24" s="237"/>
      <c r="D24" s="237"/>
      <c r="E24" s="237"/>
      <c r="F24" s="4"/>
      <c r="G24" s="4"/>
      <c r="H24" s="4"/>
      <c r="I24" s="4"/>
      <c r="J24" s="4"/>
    </row>
    <row r="25" spans="1:10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spans="1:10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spans="1:10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spans="1:10">
      <c r="A28" s="4"/>
      <c r="B28" s="4"/>
      <c r="C28" s="4"/>
      <c r="D28" s="4"/>
      <c r="E28" s="4"/>
      <c r="F28" s="4"/>
      <c r="G28" s="4"/>
      <c r="H28" s="4"/>
      <c r="I28" s="4"/>
      <c r="J28" s="4"/>
    </row>
  </sheetData>
  <mergeCells count="7">
    <mergeCell ref="A21:E22"/>
    <mergeCell ref="A23:E24"/>
    <mergeCell ref="A1:J2"/>
    <mergeCell ref="A3:J3"/>
    <mergeCell ref="A5:J6"/>
    <mergeCell ref="A7:J8"/>
    <mergeCell ref="A18:E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8"/>
  <sheetViews>
    <sheetView workbookViewId="0">
      <selection activeCell="B17" sqref="B17"/>
    </sheetView>
  </sheetViews>
  <sheetFormatPr defaultRowHeight="13.8"/>
  <cols>
    <col min="1" max="1" width="14" customWidth="1"/>
    <col min="2" max="2" width="34" customWidth="1"/>
    <col min="3" max="3" width="22" customWidth="1"/>
    <col min="4" max="6" width="15" customWidth="1"/>
    <col min="7" max="7" width="12" customWidth="1"/>
  </cols>
  <sheetData>
    <row r="1" spans="1:7">
      <c r="A1" s="160" t="s">
        <v>53</v>
      </c>
      <c r="B1" s="160"/>
      <c r="C1" s="160"/>
      <c r="D1" s="160"/>
      <c r="E1" s="160"/>
      <c r="F1" s="160"/>
      <c r="G1" s="160"/>
    </row>
    <row r="2" spans="1:7">
      <c r="A2" s="160"/>
      <c r="B2" s="160"/>
      <c r="C2" s="160"/>
      <c r="D2" s="160"/>
      <c r="E2" s="160"/>
      <c r="F2" s="160"/>
      <c r="G2" s="160"/>
    </row>
    <row r="3" spans="1:7" ht="21.6" customHeight="1">
      <c r="A3" s="226" t="s">
        <v>54</v>
      </c>
      <c r="B3" s="227"/>
      <c r="C3" s="227"/>
      <c r="D3" s="227"/>
      <c r="E3" s="227"/>
      <c r="F3" s="227"/>
      <c r="G3" s="227"/>
    </row>
    <row r="4" spans="1:7" ht="3.9" customHeight="1">
      <c r="A4" s="4"/>
      <c r="B4" s="4"/>
      <c r="C4" s="4"/>
      <c r="D4" s="4"/>
      <c r="E4" s="4"/>
      <c r="F4" s="4"/>
      <c r="G4" s="4"/>
    </row>
    <row r="5" spans="1:7">
      <c r="A5" s="154" t="s">
        <v>55</v>
      </c>
      <c r="B5" s="155"/>
      <c r="C5" s="155"/>
      <c r="D5" s="155"/>
      <c r="E5" s="155"/>
      <c r="F5" s="155"/>
      <c r="G5" s="155"/>
    </row>
    <row r="6" spans="1:7">
      <c r="A6" s="156"/>
      <c r="B6" s="157"/>
      <c r="C6" s="157"/>
      <c r="D6" s="157"/>
      <c r="E6" s="157"/>
      <c r="F6" s="157"/>
      <c r="G6" s="158"/>
    </row>
    <row r="7" spans="1:7">
      <c r="A7" s="228" t="s">
        <v>56</v>
      </c>
      <c r="B7" s="229"/>
      <c r="C7" s="229"/>
      <c r="D7" s="238"/>
      <c r="E7" s="238"/>
      <c r="F7" s="238"/>
      <c r="G7" s="231"/>
    </row>
    <row r="8" spans="1:7">
      <c r="A8" s="232"/>
      <c r="B8" s="233"/>
      <c r="C8" s="233"/>
      <c r="D8" s="239"/>
      <c r="E8" s="239"/>
      <c r="F8" s="239"/>
      <c r="G8" s="235"/>
    </row>
    <row r="9" spans="1:7">
      <c r="A9" s="53"/>
      <c r="B9" s="3"/>
      <c r="C9" s="3"/>
      <c r="D9" s="54"/>
      <c r="E9" s="54"/>
      <c r="F9" s="54"/>
      <c r="G9" s="55"/>
    </row>
    <row r="10" spans="1:7">
      <c r="A10" s="161" t="s">
        <v>57</v>
      </c>
      <c r="B10" s="162"/>
      <c r="C10" s="162"/>
      <c r="D10" s="163"/>
      <c r="E10" s="163"/>
      <c r="F10" s="163"/>
      <c r="G10" s="164"/>
    </row>
    <row r="11" spans="1:7" ht="22.8" customHeight="1">
      <c r="A11" s="228" t="s">
        <v>58</v>
      </c>
      <c r="B11" s="233"/>
      <c r="C11" s="233"/>
      <c r="D11" s="239"/>
      <c r="E11" s="239"/>
      <c r="F11" s="239"/>
      <c r="G11" s="234"/>
    </row>
    <row r="12" spans="1:7">
      <c r="A12" s="53"/>
      <c r="B12" s="3"/>
      <c r="C12" s="3"/>
      <c r="D12" s="54"/>
      <c r="E12" s="54"/>
      <c r="F12" s="54"/>
      <c r="G12" s="55"/>
    </row>
    <row r="13" spans="1:7" ht="12.75" customHeight="1">
      <c r="A13" s="16" t="s">
        <v>59</v>
      </c>
      <c r="B13" s="17" t="s">
        <v>60</v>
      </c>
      <c r="C13" s="17" t="s">
        <v>61</v>
      </c>
      <c r="D13" s="56" t="s">
        <v>62</v>
      </c>
      <c r="E13" s="56" t="s">
        <v>63</v>
      </c>
      <c r="F13" s="56" t="s">
        <v>64</v>
      </c>
      <c r="G13" s="19" t="s">
        <v>65</v>
      </c>
    </row>
    <row r="14" spans="1:7" ht="12.75" customHeight="1">
      <c r="A14" s="26" t="s">
        <v>66</v>
      </c>
      <c r="B14" s="27" t="s">
        <v>67</v>
      </c>
      <c r="C14" s="27" t="s">
        <v>68</v>
      </c>
      <c r="D14" s="57">
        <v>46044</v>
      </c>
      <c r="E14" s="57">
        <v>46049</v>
      </c>
      <c r="F14" s="57">
        <v>46048</v>
      </c>
      <c r="G14" s="58" t="s">
        <v>69</v>
      </c>
    </row>
    <row r="15" spans="1:7" ht="12.75" customHeight="1">
      <c r="A15" s="30" t="s">
        <v>70</v>
      </c>
      <c r="B15" s="20" t="s">
        <v>71</v>
      </c>
      <c r="C15" s="20" t="s">
        <v>72</v>
      </c>
      <c r="D15" s="59">
        <v>46173</v>
      </c>
      <c r="E15" s="59">
        <v>46184</v>
      </c>
      <c r="F15" s="59">
        <v>46183</v>
      </c>
      <c r="G15" s="60" t="s">
        <v>73</v>
      </c>
    </row>
    <row r="16" spans="1:7" ht="12.75" customHeight="1">
      <c r="A16" s="30" t="s">
        <v>74</v>
      </c>
      <c r="B16" s="20" t="s">
        <v>75</v>
      </c>
      <c r="C16" s="20" t="s">
        <v>76</v>
      </c>
      <c r="D16" s="59">
        <v>46085</v>
      </c>
      <c r="E16" s="59">
        <v>46087</v>
      </c>
      <c r="F16" s="59">
        <v>46091</v>
      </c>
      <c r="G16" s="60" t="s">
        <v>77</v>
      </c>
    </row>
    <row r="17" spans="1:7" ht="12.75" customHeight="1">
      <c r="A17" s="30" t="s">
        <v>78</v>
      </c>
      <c r="B17" s="20" t="s">
        <v>79</v>
      </c>
      <c r="C17" s="20" t="s">
        <v>80</v>
      </c>
      <c r="D17" s="59">
        <v>46193</v>
      </c>
      <c r="E17" s="59">
        <v>46205</v>
      </c>
      <c r="F17" s="59">
        <v>46205</v>
      </c>
      <c r="G17" s="60" t="s">
        <v>69</v>
      </c>
    </row>
    <row r="18" spans="1:7" ht="12.75" customHeight="1">
      <c r="A18" s="30" t="s">
        <v>81</v>
      </c>
      <c r="B18" s="20" t="s">
        <v>82</v>
      </c>
      <c r="C18" s="20" t="s">
        <v>83</v>
      </c>
      <c r="D18" s="59">
        <v>46150</v>
      </c>
      <c r="E18" s="59">
        <v>46156</v>
      </c>
      <c r="F18" s="59">
        <v>46158</v>
      </c>
      <c r="G18" s="60" t="s">
        <v>77</v>
      </c>
    </row>
    <row r="19" spans="1:7" ht="12.75" customHeight="1">
      <c r="A19" s="30" t="s">
        <v>84</v>
      </c>
      <c r="B19" s="20" t="s">
        <v>85</v>
      </c>
      <c r="C19" s="20">
        <v>66272</v>
      </c>
      <c r="D19" s="59">
        <v>46220</v>
      </c>
      <c r="E19" s="59">
        <v>46221</v>
      </c>
      <c r="F19" s="59">
        <v>46224</v>
      </c>
      <c r="G19" s="60" t="s">
        <v>77</v>
      </c>
    </row>
    <row r="20" spans="1:7" ht="12.75" customHeight="1">
      <c r="A20" s="30" t="s">
        <v>86</v>
      </c>
      <c r="B20" s="20" t="s">
        <v>87</v>
      </c>
      <c r="C20" s="20" t="s">
        <v>88</v>
      </c>
      <c r="D20" s="59">
        <v>46205</v>
      </c>
      <c r="E20" s="59">
        <v>46215</v>
      </c>
      <c r="F20" s="59">
        <v>46214</v>
      </c>
      <c r="G20" s="60" t="s">
        <v>77</v>
      </c>
    </row>
    <row r="21" spans="1:7" ht="12.75" customHeight="1">
      <c r="A21" s="30" t="s">
        <v>89</v>
      </c>
      <c r="B21" s="20" t="s">
        <v>90</v>
      </c>
      <c r="C21" s="20" t="s">
        <v>91</v>
      </c>
      <c r="D21" s="59">
        <v>46150</v>
      </c>
      <c r="E21" s="59">
        <v>46160</v>
      </c>
      <c r="F21" s="59">
        <v>46160</v>
      </c>
      <c r="G21" s="60" t="s">
        <v>69</v>
      </c>
    </row>
    <row r="22" spans="1:7" ht="12.75" customHeight="1">
      <c r="A22" s="30" t="s">
        <v>92</v>
      </c>
      <c r="B22" s="20" t="s">
        <v>93</v>
      </c>
      <c r="C22" s="20" t="s">
        <v>94</v>
      </c>
      <c r="D22" s="59">
        <v>46081</v>
      </c>
      <c r="E22" s="59">
        <v>46093</v>
      </c>
      <c r="F22" s="59">
        <v>46091</v>
      </c>
      <c r="G22" s="60" t="s">
        <v>69</v>
      </c>
    </row>
    <row r="23" spans="1:7" ht="12.75" customHeight="1">
      <c r="A23" s="30" t="s">
        <v>95</v>
      </c>
      <c r="B23" s="20" t="s">
        <v>96</v>
      </c>
      <c r="C23" s="20" t="s">
        <v>97</v>
      </c>
      <c r="D23" s="59">
        <v>46116</v>
      </c>
      <c r="E23" s="59">
        <v>46123</v>
      </c>
      <c r="F23" s="59">
        <v>46123</v>
      </c>
      <c r="G23" s="60" t="s">
        <v>69</v>
      </c>
    </row>
    <row r="24" spans="1:7" ht="12.75" customHeight="1">
      <c r="A24" s="30" t="s">
        <v>98</v>
      </c>
      <c r="B24" s="20" t="s">
        <v>99</v>
      </c>
      <c r="C24" s="20" t="s">
        <v>100</v>
      </c>
      <c r="D24" s="59">
        <v>46105</v>
      </c>
      <c r="E24" s="59">
        <v>46109</v>
      </c>
      <c r="F24" s="59">
        <v>46113</v>
      </c>
      <c r="G24" s="60" t="s">
        <v>77</v>
      </c>
    </row>
    <row r="25" spans="1:7" ht="12.75" customHeight="1">
      <c r="A25" s="30" t="s">
        <v>101</v>
      </c>
      <c r="B25" s="20" t="s">
        <v>102</v>
      </c>
      <c r="C25" s="20">
        <v>33507</v>
      </c>
      <c r="D25" s="59">
        <v>46151</v>
      </c>
      <c r="E25" s="59">
        <v>46162</v>
      </c>
      <c r="F25" s="59">
        <v>46160</v>
      </c>
      <c r="G25" s="60" t="s">
        <v>69</v>
      </c>
    </row>
    <row r="26" spans="1:7" ht="12.75" customHeight="1">
      <c r="A26" s="30" t="s">
        <v>103</v>
      </c>
      <c r="B26" s="20" t="s">
        <v>104</v>
      </c>
      <c r="C26" s="20" t="s">
        <v>105</v>
      </c>
      <c r="D26" s="59">
        <v>46040</v>
      </c>
      <c r="E26" s="59">
        <v>46048</v>
      </c>
      <c r="F26" s="59">
        <v>46050</v>
      </c>
      <c r="G26" s="60" t="s">
        <v>77</v>
      </c>
    </row>
    <row r="27" spans="1:7" ht="12.75" customHeight="1">
      <c r="A27" s="30" t="s">
        <v>106</v>
      </c>
      <c r="B27" s="20" t="s">
        <v>107</v>
      </c>
      <c r="C27" s="20" t="s">
        <v>108</v>
      </c>
      <c r="D27" s="59">
        <v>46117</v>
      </c>
      <c r="E27" s="59">
        <v>46121</v>
      </c>
      <c r="F27" s="59">
        <v>46123</v>
      </c>
      <c r="G27" s="60" t="s">
        <v>77</v>
      </c>
    </row>
    <row r="28" spans="1:7" ht="12.75" customHeight="1">
      <c r="A28" s="30" t="s">
        <v>109</v>
      </c>
      <c r="B28" s="20" t="s">
        <v>110</v>
      </c>
      <c r="C28" s="20" t="s">
        <v>111</v>
      </c>
      <c r="D28" s="59">
        <v>46117</v>
      </c>
      <c r="E28" s="59">
        <v>46127</v>
      </c>
      <c r="F28" s="59">
        <v>46132</v>
      </c>
      <c r="G28" s="60" t="s">
        <v>73</v>
      </c>
    </row>
    <row r="29" spans="1:7" ht="12.75" customHeight="1">
      <c r="A29" s="30" t="s">
        <v>112</v>
      </c>
      <c r="B29" s="20" t="s">
        <v>113</v>
      </c>
      <c r="C29" s="20" t="s">
        <v>114</v>
      </c>
      <c r="D29" s="59">
        <v>46024</v>
      </c>
      <c r="E29" s="59">
        <v>46031</v>
      </c>
      <c r="F29" s="59">
        <v>46029</v>
      </c>
      <c r="G29" s="60" t="s">
        <v>73</v>
      </c>
    </row>
    <row r="30" spans="1:7" ht="12.75" customHeight="1">
      <c r="A30" s="30" t="s">
        <v>115</v>
      </c>
      <c r="B30" s="20" t="s">
        <v>116</v>
      </c>
      <c r="C30" s="20" t="s">
        <v>117</v>
      </c>
      <c r="D30" s="59">
        <v>46023</v>
      </c>
      <c r="E30" s="59">
        <v>46034</v>
      </c>
      <c r="F30" s="59">
        <v>46038</v>
      </c>
      <c r="G30" s="60" t="s">
        <v>69</v>
      </c>
    </row>
    <row r="31" spans="1:7" ht="12.75" customHeight="1">
      <c r="A31" s="30" t="s">
        <v>118</v>
      </c>
      <c r="B31" s="20" t="s">
        <v>119</v>
      </c>
      <c r="C31" s="20">
        <v>46677</v>
      </c>
      <c r="D31" s="59">
        <v>46148</v>
      </c>
      <c r="E31" s="59">
        <v>46149</v>
      </c>
      <c r="F31" s="59">
        <v>46149</v>
      </c>
      <c r="G31" s="60" t="s">
        <v>69</v>
      </c>
    </row>
    <row r="32" spans="1:7" ht="12.75" customHeight="1">
      <c r="A32" s="30" t="s">
        <v>120</v>
      </c>
      <c r="B32" s="20" t="s">
        <v>121</v>
      </c>
      <c r="C32" s="20" t="s">
        <v>122</v>
      </c>
      <c r="D32" s="59">
        <v>46202</v>
      </c>
      <c r="E32" s="59">
        <v>46208</v>
      </c>
      <c r="F32" s="59">
        <v>46213</v>
      </c>
      <c r="G32" s="60" t="s">
        <v>73</v>
      </c>
    </row>
    <row r="33" spans="1:7" ht="12.75" customHeight="1">
      <c r="A33" s="30" t="s">
        <v>123</v>
      </c>
      <c r="B33" s="20" t="s">
        <v>124</v>
      </c>
      <c r="C33" s="20" t="s">
        <v>125</v>
      </c>
      <c r="D33" s="59">
        <v>46042</v>
      </c>
      <c r="E33" s="59">
        <v>46052</v>
      </c>
      <c r="F33" s="59">
        <v>46050</v>
      </c>
      <c r="G33" s="60" t="s">
        <v>73</v>
      </c>
    </row>
    <row r="34" spans="1:7" ht="12.75" customHeight="1">
      <c r="A34" s="30" t="s">
        <v>126</v>
      </c>
      <c r="B34" s="20" t="s">
        <v>127</v>
      </c>
      <c r="C34" s="20" t="s">
        <v>128</v>
      </c>
      <c r="D34" s="59">
        <v>46089</v>
      </c>
      <c r="E34" s="59">
        <v>46095</v>
      </c>
      <c r="F34" s="59">
        <v>46099</v>
      </c>
      <c r="G34" s="60" t="s">
        <v>77</v>
      </c>
    </row>
    <row r="35" spans="1:7" ht="12.75" customHeight="1">
      <c r="A35" s="30" t="s">
        <v>129</v>
      </c>
      <c r="B35" s="20" t="s">
        <v>130</v>
      </c>
      <c r="C35" s="20" t="s">
        <v>131</v>
      </c>
      <c r="D35" s="59">
        <v>46042</v>
      </c>
      <c r="E35" s="59">
        <v>46046</v>
      </c>
      <c r="F35" s="59">
        <v>46046</v>
      </c>
      <c r="G35" s="60" t="s">
        <v>69</v>
      </c>
    </row>
    <row r="36" spans="1:7" ht="12.75" customHeight="1">
      <c r="A36" s="30" t="s">
        <v>132</v>
      </c>
      <c r="B36" s="20" t="s">
        <v>133</v>
      </c>
      <c r="C36" s="20" t="s">
        <v>134</v>
      </c>
      <c r="D36" s="59">
        <v>46138</v>
      </c>
      <c r="E36" s="59">
        <v>46146</v>
      </c>
      <c r="F36" s="59">
        <v>46149</v>
      </c>
      <c r="G36" s="60" t="s">
        <v>69</v>
      </c>
    </row>
    <row r="37" spans="1:7" ht="12.75" customHeight="1">
      <c r="A37" s="30" t="s">
        <v>135</v>
      </c>
      <c r="B37" s="20" t="s">
        <v>136</v>
      </c>
      <c r="C37" s="20">
        <v>44735</v>
      </c>
      <c r="D37" s="59">
        <v>46138</v>
      </c>
      <c r="E37" s="59">
        <v>46143</v>
      </c>
      <c r="F37" s="59">
        <v>46148</v>
      </c>
      <c r="G37" s="60" t="s">
        <v>69</v>
      </c>
    </row>
    <row r="38" spans="1:7" ht="12.75" customHeight="1">
      <c r="A38" s="30" t="s">
        <v>137</v>
      </c>
      <c r="B38" s="20" t="s">
        <v>138</v>
      </c>
      <c r="C38" s="20" t="s">
        <v>139</v>
      </c>
      <c r="D38" s="59">
        <v>46234</v>
      </c>
      <c r="E38" s="59">
        <v>46246</v>
      </c>
      <c r="F38" s="59">
        <v>46244</v>
      </c>
      <c r="G38" s="60" t="s">
        <v>77</v>
      </c>
    </row>
    <row r="39" spans="1:7" ht="12.75" customHeight="1">
      <c r="A39" s="30" t="s">
        <v>140</v>
      </c>
      <c r="B39" s="20" t="s">
        <v>141</v>
      </c>
      <c r="C39" s="20" t="s">
        <v>142</v>
      </c>
      <c r="D39" s="59">
        <v>46114</v>
      </c>
      <c r="E39" s="59">
        <v>46121</v>
      </c>
      <c r="F39" s="59">
        <v>46119</v>
      </c>
      <c r="G39" s="60" t="s">
        <v>77</v>
      </c>
    </row>
    <row r="40" spans="1:7" ht="12.75" customHeight="1">
      <c r="A40" s="30" t="s">
        <v>143</v>
      </c>
      <c r="B40" s="20" t="s">
        <v>144</v>
      </c>
      <c r="C40" s="20" t="s">
        <v>145</v>
      </c>
      <c r="D40" s="59">
        <v>46126</v>
      </c>
      <c r="E40" s="59">
        <v>46134</v>
      </c>
      <c r="F40" s="59">
        <v>46135</v>
      </c>
      <c r="G40" s="60" t="s">
        <v>77</v>
      </c>
    </row>
    <row r="41" spans="1:7" ht="12.75" customHeight="1">
      <c r="A41" s="30" t="s">
        <v>146</v>
      </c>
      <c r="B41" s="20" t="s">
        <v>147</v>
      </c>
      <c r="C41" s="20" t="s">
        <v>148</v>
      </c>
      <c r="D41" s="59">
        <v>46026</v>
      </c>
      <c r="E41" s="59">
        <v>46027</v>
      </c>
      <c r="F41" s="59">
        <v>46028</v>
      </c>
      <c r="G41" s="60" t="s">
        <v>69</v>
      </c>
    </row>
    <row r="42" spans="1:7" ht="12.75" customHeight="1">
      <c r="A42" s="30" t="s">
        <v>149</v>
      </c>
      <c r="B42" s="20" t="s">
        <v>150</v>
      </c>
      <c r="C42" s="20" t="s">
        <v>151</v>
      </c>
      <c r="D42" s="59">
        <v>46172</v>
      </c>
      <c r="E42" s="59">
        <v>46182</v>
      </c>
      <c r="F42" s="59">
        <v>46184</v>
      </c>
      <c r="G42" s="60" t="s">
        <v>69</v>
      </c>
    </row>
    <row r="43" spans="1:7" ht="12.75" customHeight="1">
      <c r="A43" s="30" t="s">
        <v>152</v>
      </c>
      <c r="B43" s="20" t="s">
        <v>153</v>
      </c>
      <c r="C43" s="20">
        <v>53456</v>
      </c>
      <c r="D43" s="59">
        <v>46230</v>
      </c>
      <c r="E43" s="59">
        <v>46233</v>
      </c>
      <c r="F43" s="59">
        <v>46232</v>
      </c>
      <c r="G43" s="60" t="s">
        <v>69</v>
      </c>
    </row>
    <row r="44" spans="1:7" ht="12.75" customHeight="1">
      <c r="A44" s="30" t="s">
        <v>154</v>
      </c>
      <c r="B44" s="20" t="s">
        <v>155</v>
      </c>
      <c r="C44" s="20" t="s">
        <v>156</v>
      </c>
      <c r="D44" s="59">
        <v>46066</v>
      </c>
      <c r="E44" s="59">
        <v>46076</v>
      </c>
      <c r="F44" s="59">
        <v>46080</v>
      </c>
      <c r="G44" s="60" t="s">
        <v>77</v>
      </c>
    </row>
    <row r="45" spans="1:7" ht="12.75" customHeight="1">
      <c r="A45" s="30" t="s">
        <v>157</v>
      </c>
      <c r="B45" s="20" t="s">
        <v>158</v>
      </c>
      <c r="C45" s="20" t="s">
        <v>159</v>
      </c>
      <c r="D45" s="59">
        <v>46067</v>
      </c>
      <c r="E45" s="59">
        <v>46073</v>
      </c>
      <c r="F45" s="59">
        <v>46074</v>
      </c>
      <c r="G45" s="60" t="s">
        <v>77</v>
      </c>
    </row>
    <row r="46" spans="1:7" ht="12.75" customHeight="1">
      <c r="A46" s="30" t="s">
        <v>160</v>
      </c>
      <c r="B46" s="20" t="s">
        <v>161</v>
      </c>
      <c r="C46" s="20" t="s">
        <v>162</v>
      </c>
      <c r="D46" s="59">
        <v>46031</v>
      </c>
      <c r="E46" s="59">
        <v>46041</v>
      </c>
      <c r="F46" s="59">
        <v>46042</v>
      </c>
      <c r="G46" s="60" t="s">
        <v>77</v>
      </c>
    </row>
    <row r="47" spans="1:7" ht="12.75" customHeight="1">
      <c r="A47" s="30" t="s">
        <v>163</v>
      </c>
      <c r="B47" s="20" t="s">
        <v>164</v>
      </c>
      <c r="C47" s="20" t="s">
        <v>165</v>
      </c>
      <c r="D47" s="59">
        <v>46038</v>
      </c>
      <c r="E47" s="59">
        <v>46040</v>
      </c>
      <c r="F47" s="59">
        <v>46042</v>
      </c>
      <c r="G47" s="60" t="s">
        <v>69</v>
      </c>
    </row>
    <row r="48" spans="1:7" ht="12.75" customHeight="1">
      <c r="A48" s="30" t="s">
        <v>166</v>
      </c>
      <c r="B48" s="20" t="s">
        <v>167</v>
      </c>
      <c r="C48" s="20" t="s">
        <v>168</v>
      </c>
      <c r="D48" s="59">
        <v>46184</v>
      </c>
      <c r="E48" s="59">
        <v>46193</v>
      </c>
      <c r="F48" s="59">
        <v>46191</v>
      </c>
      <c r="G48" s="60" t="s">
        <v>73</v>
      </c>
    </row>
    <row r="49" spans="1:7" ht="12.75" customHeight="1">
      <c r="A49" s="30" t="s">
        <v>169</v>
      </c>
      <c r="B49" s="20" t="s">
        <v>170</v>
      </c>
      <c r="C49" s="20">
        <v>60905</v>
      </c>
      <c r="D49" s="59">
        <v>46111</v>
      </c>
      <c r="E49" s="59">
        <v>46121</v>
      </c>
      <c r="F49" s="59">
        <v>46124</v>
      </c>
      <c r="G49" s="60" t="s">
        <v>77</v>
      </c>
    </row>
    <row r="50" spans="1:7" ht="12.75" customHeight="1">
      <c r="A50" s="30" t="s">
        <v>171</v>
      </c>
      <c r="B50" s="20" t="s">
        <v>172</v>
      </c>
      <c r="C50" s="20" t="s">
        <v>173</v>
      </c>
      <c r="D50" s="59">
        <v>46175</v>
      </c>
      <c r="E50" s="59">
        <v>46179</v>
      </c>
      <c r="F50" s="59">
        <v>46177</v>
      </c>
      <c r="G50" s="60" t="s">
        <v>69</v>
      </c>
    </row>
    <row r="51" spans="1:7" ht="12.75" customHeight="1">
      <c r="A51" s="30" t="s">
        <v>174</v>
      </c>
      <c r="B51" s="20" t="s">
        <v>175</v>
      </c>
      <c r="C51" s="20" t="s">
        <v>176</v>
      </c>
      <c r="D51" s="59">
        <v>46063</v>
      </c>
      <c r="E51" s="59">
        <v>46065</v>
      </c>
      <c r="F51" s="59">
        <v>46066</v>
      </c>
      <c r="G51" s="60" t="s">
        <v>69</v>
      </c>
    </row>
    <row r="52" spans="1:7" ht="12.75" customHeight="1">
      <c r="A52" s="30" t="s">
        <v>177</v>
      </c>
      <c r="B52" s="20" t="s">
        <v>178</v>
      </c>
      <c r="C52" s="20" t="s">
        <v>179</v>
      </c>
      <c r="D52" s="59">
        <v>46170</v>
      </c>
      <c r="E52" s="59">
        <v>46177</v>
      </c>
      <c r="F52" s="59">
        <v>46180</v>
      </c>
      <c r="G52" s="60" t="s">
        <v>69</v>
      </c>
    </row>
    <row r="53" spans="1:7" ht="12.75" customHeight="1">
      <c r="A53" s="30" t="s">
        <v>180</v>
      </c>
      <c r="B53" s="20" t="s">
        <v>181</v>
      </c>
      <c r="C53" s="20" t="s">
        <v>182</v>
      </c>
      <c r="D53" s="59">
        <v>46174</v>
      </c>
      <c r="E53" s="59">
        <v>46175</v>
      </c>
      <c r="F53" s="59">
        <v>46178</v>
      </c>
      <c r="G53" s="60" t="s">
        <v>73</v>
      </c>
    </row>
    <row r="54" spans="1:7" ht="12.75" customHeight="1">
      <c r="A54" s="30" t="s">
        <v>183</v>
      </c>
      <c r="B54" s="20" t="s">
        <v>184</v>
      </c>
      <c r="C54" s="20" t="s">
        <v>185</v>
      </c>
      <c r="D54" s="59">
        <v>46161</v>
      </c>
      <c r="E54" s="59">
        <v>46166</v>
      </c>
      <c r="F54" s="59">
        <v>46166</v>
      </c>
      <c r="G54" s="60" t="s">
        <v>69</v>
      </c>
    </row>
    <row r="55" spans="1:7" ht="12.75" customHeight="1">
      <c r="A55" s="30" t="s">
        <v>186</v>
      </c>
      <c r="B55" s="20" t="s">
        <v>187</v>
      </c>
      <c r="C55" s="20">
        <v>79002</v>
      </c>
      <c r="D55" s="59">
        <v>46177</v>
      </c>
      <c r="E55" s="59">
        <v>46181</v>
      </c>
      <c r="F55" s="59">
        <v>46179</v>
      </c>
      <c r="G55" s="60" t="s">
        <v>77</v>
      </c>
    </row>
    <row r="56" spans="1:7" ht="12.75" customHeight="1">
      <c r="A56" s="30" t="s">
        <v>188</v>
      </c>
      <c r="B56" s="20" t="s">
        <v>189</v>
      </c>
      <c r="C56" s="20" t="s">
        <v>190</v>
      </c>
      <c r="D56" s="59">
        <v>46229</v>
      </c>
      <c r="E56" s="59">
        <v>46232</v>
      </c>
      <c r="F56" s="59">
        <v>46235</v>
      </c>
      <c r="G56" s="60" t="s">
        <v>77</v>
      </c>
    </row>
    <row r="57" spans="1:7" ht="12.75" customHeight="1">
      <c r="A57" s="30" t="s">
        <v>191</v>
      </c>
      <c r="B57" s="20" t="s">
        <v>192</v>
      </c>
      <c r="C57" s="20" t="s">
        <v>193</v>
      </c>
      <c r="D57" s="59">
        <v>46173</v>
      </c>
      <c r="E57" s="59">
        <v>46185</v>
      </c>
      <c r="F57" s="59">
        <v>46185</v>
      </c>
      <c r="G57" s="60" t="s">
        <v>73</v>
      </c>
    </row>
    <row r="58" spans="1:7" ht="12.75" customHeight="1">
      <c r="A58" s="30" t="s">
        <v>194</v>
      </c>
      <c r="B58" s="20" t="s">
        <v>195</v>
      </c>
      <c r="C58" s="20" t="s">
        <v>196</v>
      </c>
      <c r="D58" s="59">
        <v>46203</v>
      </c>
      <c r="E58" s="59">
        <v>46214</v>
      </c>
      <c r="F58" s="59">
        <v>46218</v>
      </c>
      <c r="G58" s="60" t="s">
        <v>69</v>
      </c>
    </row>
    <row r="59" spans="1:7" ht="12.75" customHeight="1">
      <c r="A59" s="30" t="s">
        <v>197</v>
      </c>
      <c r="B59" s="20" t="s">
        <v>198</v>
      </c>
      <c r="C59" s="20" t="s">
        <v>199</v>
      </c>
      <c r="D59" s="59">
        <v>46057</v>
      </c>
      <c r="E59" s="59">
        <v>46060</v>
      </c>
      <c r="F59" s="59">
        <v>46064</v>
      </c>
      <c r="G59" s="60" t="s">
        <v>77</v>
      </c>
    </row>
    <row r="60" spans="1:7" ht="12.75" customHeight="1">
      <c r="A60" s="30" t="s">
        <v>200</v>
      </c>
      <c r="B60" s="20" t="s">
        <v>201</v>
      </c>
      <c r="C60" s="20" t="s">
        <v>202</v>
      </c>
      <c r="D60" s="59">
        <v>46080</v>
      </c>
      <c r="E60" s="59">
        <v>46091</v>
      </c>
      <c r="F60" s="59">
        <v>46091</v>
      </c>
      <c r="G60" s="60" t="s">
        <v>77</v>
      </c>
    </row>
    <row r="61" spans="1:7" ht="12.75" customHeight="1">
      <c r="A61" s="30" t="s">
        <v>203</v>
      </c>
      <c r="B61" s="20" t="s">
        <v>204</v>
      </c>
      <c r="C61" s="20">
        <v>84381</v>
      </c>
      <c r="D61" s="59">
        <v>46209</v>
      </c>
      <c r="E61" s="59">
        <v>46210</v>
      </c>
      <c r="F61" s="59">
        <v>46214</v>
      </c>
      <c r="G61" s="60" t="s">
        <v>69</v>
      </c>
    </row>
    <row r="62" spans="1:7" ht="12.75" customHeight="1">
      <c r="A62" s="30" t="s">
        <v>205</v>
      </c>
      <c r="B62" s="20" t="s">
        <v>206</v>
      </c>
      <c r="C62" s="20" t="s">
        <v>207</v>
      </c>
      <c r="D62" s="59">
        <v>46186</v>
      </c>
      <c r="E62" s="59">
        <v>46196</v>
      </c>
      <c r="F62" s="59">
        <v>46195</v>
      </c>
      <c r="G62" s="60" t="s">
        <v>69</v>
      </c>
    </row>
    <row r="63" spans="1:7" ht="12.75" customHeight="1">
      <c r="A63" s="30" t="s">
        <v>208</v>
      </c>
      <c r="B63" s="20" t="s">
        <v>209</v>
      </c>
      <c r="C63" s="20" t="s">
        <v>210</v>
      </c>
      <c r="D63" s="59">
        <v>46111</v>
      </c>
      <c r="E63" s="59">
        <v>46117</v>
      </c>
      <c r="F63" s="59">
        <v>46117</v>
      </c>
      <c r="G63" s="60" t="s">
        <v>69</v>
      </c>
    </row>
    <row r="64" spans="1:7" ht="12.75" customHeight="1">
      <c r="A64" s="30" t="s">
        <v>211</v>
      </c>
      <c r="B64" s="20" t="s">
        <v>212</v>
      </c>
      <c r="C64" s="20" t="s">
        <v>213</v>
      </c>
      <c r="D64" s="59">
        <v>46090</v>
      </c>
      <c r="E64" s="59">
        <v>46094</v>
      </c>
      <c r="F64" s="59">
        <v>46095</v>
      </c>
      <c r="G64" s="60" t="s">
        <v>77</v>
      </c>
    </row>
    <row r="65" spans="1:7" ht="12.75" customHeight="1">
      <c r="A65" s="30" t="s">
        <v>214</v>
      </c>
      <c r="B65" s="20" t="s">
        <v>215</v>
      </c>
      <c r="C65" s="20" t="s">
        <v>216</v>
      </c>
      <c r="D65" s="59">
        <v>46035</v>
      </c>
      <c r="E65" s="59">
        <v>46042</v>
      </c>
      <c r="F65" s="59">
        <v>46047</v>
      </c>
      <c r="G65" s="60" t="s">
        <v>69</v>
      </c>
    </row>
    <row r="66" spans="1:7" ht="12.75" customHeight="1">
      <c r="A66" s="31" t="s">
        <v>217</v>
      </c>
      <c r="B66" s="23" t="s">
        <v>218</v>
      </c>
      <c r="C66" s="23" t="s">
        <v>219</v>
      </c>
      <c r="D66" s="61">
        <v>46112</v>
      </c>
      <c r="E66" s="61">
        <v>46121</v>
      </c>
      <c r="F66" s="61">
        <v>46125</v>
      </c>
      <c r="G66" s="62" t="s">
        <v>77</v>
      </c>
    </row>
    <row r="67" spans="1:7" ht="12.75" customHeight="1">
      <c r="A67" s="34" t="s">
        <v>220</v>
      </c>
      <c r="B67" s="35" t="s">
        <v>221</v>
      </c>
      <c r="C67" s="35">
        <v>48654</v>
      </c>
      <c r="D67" s="63">
        <v>46138</v>
      </c>
      <c r="E67" s="63">
        <v>46140</v>
      </c>
      <c r="F67" s="63">
        <v>46138</v>
      </c>
      <c r="G67" s="33" t="s">
        <v>69</v>
      </c>
    </row>
    <row r="68" spans="1:7" ht="12.75" customHeight="1">
      <c r="A68" s="34" t="s">
        <v>222</v>
      </c>
      <c r="B68" s="35" t="s">
        <v>223</v>
      </c>
      <c r="C68" s="35" t="s">
        <v>224</v>
      </c>
      <c r="D68" s="63">
        <v>46041</v>
      </c>
      <c r="E68" s="63">
        <v>46047</v>
      </c>
      <c r="F68" s="63">
        <v>46047</v>
      </c>
      <c r="G68" s="33" t="s">
        <v>69</v>
      </c>
    </row>
    <row r="69" spans="1:7" ht="12.75" customHeight="1">
      <c r="A69" s="34" t="s">
        <v>225</v>
      </c>
      <c r="B69" s="35" t="s">
        <v>226</v>
      </c>
      <c r="C69" s="35" t="s">
        <v>227</v>
      </c>
      <c r="D69" s="63">
        <v>46175</v>
      </c>
      <c r="E69" s="63">
        <v>46185</v>
      </c>
      <c r="F69" s="63">
        <v>46190</v>
      </c>
      <c r="G69" s="33" t="s">
        <v>77</v>
      </c>
    </row>
    <row r="70" spans="1:7" ht="12.75" customHeight="1">
      <c r="A70" s="34" t="s">
        <v>228</v>
      </c>
      <c r="B70" s="35" t="s">
        <v>229</v>
      </c>
      <c r="C70" s="35" t="s">
        <v>230</v>
      </c>
      <c r="D70" s="63">
        <v>46036</v>
      </c>
      <c r="E70" s="63">
        <v>46038</v>
      </c>
      <c r="F70" s="63">
        <v>46041</v>
      </c>
      <c r="G70" s="33" t="s">
        <v>69</v>
      </c>
    </row>
    <row r="71" spans="1:7" ht="12.75" customHeight="1">
      <c r="A71" s="34" t="s">
        <v>231</v>
      </c>
      <c r="B71" s="35" t="s">
        <v>232</v>
      </c>
      <c r="C71" s="35" t="s">
        <v>233</v>
      </c>
      <c r="D71" s="63">
        <v>46099</v>
      </c>
      <c r="E71" s="63">
        <v>46103</v>
      </c>
      <c r="F71" s="63">
        <v>46102</v>
      </c>
      <c r="G71" s="33" t="s">
        <v>77</v>
      </c>
    </row>
    <row r="72" spans="1:7" ht="12.75" customHeight="1">
      <c r="A72" s="34" t="s">
        <v>234</v>
      </c>
      <c r="B72" s="35" t="s">
        <v>235</v>
      </c>
      <c r="C72" s="35" t="s">
        <v>236</v>
      </c>
      <c r="D72" s="63">
        <v>46036</v>
      </c>
      <c r="E72" s="63">
        <v>46042</v>
      </c>
      <c r="F72" s="63">
        <v>46040</v>
      </c>
      <c r="G72" s="33" t="s">
        <v>69</v>
      </c>
    </row>
    <row r="73" spans="1:7" ht="12.75" customHeight="1">
      <c r="A73" s="36" t="s">
        <v>237</v>
      </c>
      <c r="B73" s="37" t="s">
        <v>238</v>
      </c>
      <c r="C73" s="37">
        <v>32391</v>
      </c>
      <c r="D73" s="64">
        <v>46047</v>
      </c>
      <c r="E73" s="64">
        <v>46048</v>
      </c>
      <c r="F73" s="64">
        <v>46049</v>
      </c>
      <c r="G73" s="38" t="s">
        <v>73</v>
      </c>
    </row>
    <row r="74" spans="1:7">
      <c r="A74" s="4"/>
      <c r="B74" s="4"/>
      <c r="C74" s="4"/>
      <c r="D74" s="4"/>
      <c r="E74" s="4"/>
      <c r="F74" s="4"/>
      <c r="G74" s="4"/>
    </row>
    <row r="75" spans="1:7">
      <c r="A75" s="4"/>
      <c r="B75" s="4"/>
      <c r="C75" s="4"/>
      <c r="D75" s="4"/>
      <c r="E75" s="4"/>
      <c r="F75" s="4"/>
      <c r="G75" s="4"/>
    </row>
    <row r="76" spans="1:7">
      <c r="A76" s="4"/>
      <c r="B76" s="4"/>
      <c r="C76" s="4"/>
      <c r="D76" s="4"/>
      <c r="E76" s="4"/>
      <c r="F76" s="4"/>
      <c r="G76" s="4"/>
    </row>
    <row r="77" spans="1:7">
      <c r="A77" s="4"/>
      <c r="B77" s="4"/>
      <c r="C77" s="4"/>
      <c r="D77" s="4"/>
      <c r="E77" s="4"/>
      <c r="F77" s="4"/>
      <c r="G77" s="4"/>
    </row>
    <row r="78" spans="1:7">
      <c r="A78" s="4"/>
      <c r="B78" s="4"/>
      <c r="C78" s="4"/>
      <c r="D78" s="4"/>
      <c r="E78" s="4"/>
      <c r="F78" s="4"/>
      <c r="G78" s="4"/>
    </row>
  </sheetData>
  <mergeCells count="6">
    <mergeCell ref="A11:G11"/>
    <mergeCell ref="A1:G2"/>
    <mergeCell ref="A3:G3"/>
    <mergeCell ref="A5:G6"/>
    <mergeCell ref="A7:G8"/>
    <mergeCell ref="A10:G10"/>
  </mergeCells>
  <conditionalFormatting sqref="C14:C73">
    <cfRule type="expression" dxfId="3" priority="1">
      <formula>ISNUMBER(C14)</formula>
    </cfRule>
  </conditionalFormatting>
  <dataValidations count="7">
    <dataValidation allowBlank="1" showInputMessage="1" promptTitle="Order ID | رقم الطلب" prompt="Unique service-order identifier._x000a_رقم مميز لطلب الخدمة." sqref="A13" xr:uid="{00000000-0002-0000-0200-000000000000}"/>
    <dataValidation allowBlank="1" showInputMessage="1" promptTitle="Composite Key | المفتاح المركب" prompt="Region|Service|CustomerID|OrderType packed into one text field._x000a_أربعة حقول مجمعة داخل نص واحد." sqref="B13" xr:uid="{00000000-0002-0000-0200-000001000000}"/>
    <dataValidation allowBlank="1" showInputMessage="1" promptTitle="Account Reference | مرجع الحساب" prompt="Account identifier. Some rows are intentionally stored as numbers._x000a_معرّف الحساب، وبعض الصفوف مخزنة كأرقام بشكل مقصود." sqref="C13" xr:uid="{00000000-0002-0000-0200-000002000000}"/>
    <dataValidation allowBlank="1" showInputMessage="1" promptTitle="Start Date | تاريخ البداية" prompt="Order start date._x000a_تاريخ بدء الطلب." sqref="D13" xr:uid="{00000000-0002-0000-0200-000003000000}"/>
    <dataValidation allowBlank="1" showInputMessage="1" promptTitle="Due Date | تاريخ الاستحقاق" prompt="Committed due date._x000a_تاريخ الاستحقاق المتفق عليه." sqref="E13" xr:uid="{00000000-0002-0000-0200-000004000000}"/>
    <dataValidation allowBlank="1" showInputMessage="1" promptTitle="Close Date | تاريخ الإغلاق" prompt="Actual close date._x000a_تاريخ الإغلاق الفعلي." sqref="F13" xr:uid="{00000000-0002-0000-0200-000005000000}"/>
    <dataValidation allowBlank="1" showInputMessage="1" promptTitle="Priority | الأولوية" prompt="Operational priority code._x000a_رمز أولوية الطلب." sqref="G13" xr:uid="{00000000-0002-0000-0200-00000600000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2"/>
  <sheetViews>
    <sheetView zoomScale="115" zoomScaleNormal="115" workbookViewId="0">
      <selection activeCell="A7" sqref="A7:L8"/>
    </sheetView>
  </sheetViews>
  <sheetFormatPr defaultRowHeight="13.8"/>
  <cols>
    <col min="1" max="1" width="34" customWidth="1"/>
    <col min="2" max="2" width="14" customWidth="1"/>
    <col min="3" max="3" width="22" customWidth="1"/>
    <col min="4" max="4" width="18" customWidth="1"/>
    <col min="5" max="5" width="16" customWidth="1"/>
    <col min="6" max="6" width="14" customWidth="1"/>
    <col min="7" max="7" width="4" customWidth="1"/>
    <col min="8" max="12" width="18" customWidth="1"/>
  </cols>
  <sheetData>
    <row r="1" spans="1:12">
      <c r="A1" s="160" t="s">
        <v>239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>
      <c r="A2" s="160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</row>
    <row r="3" spans="1:12">
      <c r="A3" s="226" t="s">
        <v>240</v>
      </c>
      <c r="B3" s="227"/>
      <c r="C3" s="227"/>
      <c r="D3" s="227"/>
      <c r="E3" s="227"/>
      <c r="F3" s="227"/>
      <c r="G3" s="227"/>
      <c r="H3" s="227"/>
      <c r="I3" s="227"/>
      <c r="J3" s="227"/>
      <c r="K3" s="227"/>
      <c r="L3" s="227"/>
    </row>
    <row r="4" spans="1:12" ht="3.9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>
      <c r="A5" s="154" t="s">
        <v>241</v>
      </c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</row>
    <row r="6" spans="1:12">
      <c r="A6" s="154"/>
      <c r="B6" s="155"/>
      <c r="C6" s="155"/>
      <c r="D6" s="155"/>
      <c r="E6" s="155"/>
      <c r="F6" s="155"/>
      <c r="G6" s="155"/>
      <c r="H6" s="155"/>
      <c r="I6" s="155"/>
      <c r="J6" s="155"/>
      <c r="K6" s="155"/>
      <c r="L6" s="155"/>
    </row>
    <row r="7" spans="1:12" ht="15.3" customHeight="1">
      <c r="A7" s="240" t="s">
        <v>242</v>
      </c>
      <c r="B7" s="241"/>
      <c r="C7" s="241"/>
      <c r="D7" s="241"/>
      <c r="E7" s="241"/>
      <c r="F7" s="241"/>
      <c r="G7" s="241"/>
      <c r="H7" s="241"/>
      <c r="I7" s="241"/>
      <c r="J7" s="241"/>
      <c r="K7" s="241"/>
      <c r="L7" s="242"/>
    </row>
    <row r="8" spans="1:12" ht="15.3" customHeight="1">
      <c r="A8" s="241"/>
      <c r="B8" s="241"/>
      <c r="C8" s="241"/>
      <c r="D8" s="241"/>
      <c r="E8" s="241"/>
      <c r="F8" s="241"/>
      <c r="G8" s="241"/>
      <c r="H8" s="241"/>
      <c r="I8" s="241"/>
      <c r="J8" s="241"/>
      <c r="K8" s="241"/>
      <c r="L8" s="242"/>
    </row>
    <row r="9" spans="1:12">
      <c r="A9" s="9"/>
      <c r="B9" s="10"/>
      <c r="C9" s="10"/>
      <c r="D9" s="10"/>
      <c r="E9" s="10"/>
      <c r="F9" s="11"/>
      <c r="G9" s="4"/>
      <c r="H9" s="9"/>
      <c r="I9" s="10"/>
      <c r="J9" s="11"/>
      <c r="K9" s="4"/>
      <c r="L9" s="4"/>
    </row>
    <row r="10" spans="1:12" ht="17.25" customHeight="1">
      <c r="A10" s="16" t="s">
        <v>60</v>
      </c>
      <c r="B10" s="17" t="s">
        <v>243</v>
      </c>
      <c r="C10" s="17" t="s">
        <v>244</v>
      </c>
      <c r="D10" s="17" t="s">
        <v>245</v>
      </c>
      <c r="E10" s="17" t="s">
        <v>246</v>
      </c>
      <c r="F10" s="19" t="s">
        <v>247</v>
      </c>
      <c r="G10" s="4"/>
      <c r="H10" s="204" t="s">
        <v>248</v>
      </c>
      <c r="I10" s="205" cm="1"/>
      <c r="J10" s="206"/>
      <c r="K10" s="150"/>
      <c r="L10" s="150"/>
    </row>
    <row r="11" spans="1:12" ht="17.25" customHeight="1">
      <c r="A11" s="26" t="s">
        <v>249</v>
      </c>
      <c r="B11" s="68" t="s">
        <v>250</v>
      </c>
      <c r="C11" s="68" t="s">
        <v>250</v>
      </c>
      <c r="D11" s="68" t="s">
        <v>250</v>
      </c>
      <c r="E11" s="68" t="s">
        <v>250</v>
      </c>
      <c r="F11" s="58" t="s">
        <v>251</v>
      </c>
      <c r="G11" s="4"/>
      <c r="H11" s="167" t="str">
        <f>"=TEXTBEFORE(""Amman|Fiber|C30091|ACT"",""|"")  →  Amman"</f>
        <v>=TEXTBEFORE("Amman|Fiber|C30091|ACT","|")  →  Amman</v>
      </c>
      <c r="I11" s="167"/>
      <c r="J11" s="167"/>
      <c r="K11" s="167"/>
      <c r="L11" s="167"/>
    </row>
    <row r="12" spans="1:12" ht="17.25" customHeight="1">
      <c r="A12" s="30" t="s">
        <v>252</v>
      </c>
      <c r="B12" s="69" t="s">
        <v>250</v>
      </c>
      <c r="C12" s="69" t="s">
        <v>250</v>
      </c>
      <c r="D12" s="69" t="s">
        <v>250</v>
      </c>
      <c r="E12" s="69" t="s">
        <v>250</v>
      </c>
      <c r="F12" s="60" t="s">
        <v>253</v>
      </c>
      <c r="G12" s="4"/>
      <c r="H12" s="167"/>
      <c r="I12" s="167"/>
      <c r="J12" s="167"/>
      <c r="K12" s="167"/>
      <c r="L12" s="167"/>
    </row>
    <row r="13" spans="1:12" ht="17.25" customHeight="1">
      <c r="A13" s="65" t="s">
        <v>254</v>
      </c>
      <c r="B13" s="70" t="s">
        <v>250</v>
      </c>
      <c r="C13" s="70" t="s">
        <v>250</v>
      </c>
      <c r="D13" s="70" t="s">
        <v>250</v>
      </c>
      <c r="E13" s="70" t="s">
        <v>250</v>
      </c>
      <c r="F13" s="67" t="s">
        <v>255</v>
      </c>
      <c r="G13" s="4"/>
      <c r="H13" s="4"/>
      <c r="I13" s="4"/>
      <c r="J13" s="4"/>
      <c r="K13" s="4"/>
      <c r="L13" s="4"/>
    </row>
    <row r="14" spans="1:12">
      <c r="A14" s="53"/>
      <c r="B14" s="3"/>
      <c r="C14" s="3"/>
      <c r="D14" s="3"/>
      <c r="E14" s="3"/>
      <c r="F14" s="55"/>
      <c r="G14" s="4"/>
      <c r="H14" s="4"/>
      <c r="I14" s="4"/>
      <c r="J14" s="4"/>
      <c r="K14" s="4"/>
      <c r="L14" s="4"/>
    </row>
    <row r="15" spans="1:12">
      <c r="A15" s="53"/>
      <c r="B15" s="3"/>
      <c r="C15" s="3"/>
      <c r="D15" s="3"/>
      <c r="E15" s="3"/>
      <c r="F15" s="55"/>
      <c r="G15" s="4"/>
      <c r="H15" s="4"/>
      <c r="I15" s="4"/>
      <c r="J15" s="4"/>
      <c r="K15" s="4"/>
      <c r="L15" s="4"/>
    </row>
    <row r="16" spans="1:12" ht="17.25" customHeight="1">
      <c r="A16" s="168" t="s">
        <v>256</v>
      </c>
      <c r="B16" s="169"/>
      <c r="C16" s="169"/>
      <c r="D16" s="170"/>
      <c r="E16" s="177" t="s">
        <v>257</v>
      </c>
      <c r="F16" s="178"/>
      <c r="G16" s="179"/>
      <c r="H16" s="180"/>
      <c r="I16" s="189" t="s">
        <v>258</v>
      </c>
      <c r="J16" s="190"/>
      <c r="K16" s="190"/>
      <c r="L16" s="191"/>
    </row>
    <row r="17" spans="1:12" ht="17.25" customHeight="1">
      <c r="A17" s="171"/>
      <c r="B17" s="172"/>
      <c r="C17" s="172"/>
      <c r="D17" s="173"/>
      <c r="E17" s="181"/>
      <c r="F17" s="182"/>
      <c r="G17" s="183"/>
      <c r="H17" s="184"/>
      <c r="I17" s="192"/>
      <c r="J17" s="193"/>
      <c r="K17" s="193"/>
      <c r="L17" s="194"/>
    </row>
    <row r="18" spans="1:12" ht="17.25" customHeight="1">
      <c r="A18" s="174"/>
      <c r="B18" s="175"/>
      <c r="C18" s="175"/>
      <c r="D18" s="176"/>
      <c r="E18" s="185"/>
      <c r="F18" s="186"/>
      <c r="G18" s="187"/>
      <c r="H18" s="188"/>
      <c r="I18" s="195"/>
      <c r="J18" s="196"/>
      <c r="K18" s="196"/>
      <c r="L18" s="197"/>
    </row>
    <row r="19" spans="1:12" ht="17.25" customHeight="1">
      <c r="A19" s="53"/>
      <c r="B19" s="3"/>
      <c r="C19" s="3"/>
      <c r="D19" s="3"/>
      <c r="E19" s="3"/>
      <c r="F19" s="55"/>
      <c r="G19" s="4"/>
      <c r="H19" s="4"/>
      <c r="I19" s="4"/>
      <c r="J19" s="4"/>
      <c r="K19" s="4"/>
      <c r="L19" s="4"/>
    </row>
    <row r="20" spans="1:12" ht="17.25" customHeight="1">
      <c r="A20" s="198" t="s">
        <v>259</v>
      </c>
      <c r="B20" s="199"/>
      <c r="C20" s="199"/>
      <c r="D20" s="199"/>
      <c r="E20" s="199"/>
      <c r="F20" s="200"/>
      <c r="G20" s="199"/>
      <c r="H20" s="199"/>
      <c r="I20" s="199"/>
      <c r="J20" s="199"/>
      <c r="K20" s="199"/>
      <c r="L20" s="199"/>
    </row>
    <row r="21" spans="1:12">
      <c r="A21" s="53"/>
      <c r="B21" s="3"/>
      <c r="C21" s="3"/>
      <c r="D21" s="3"/>
      <c r="E21" s="3"/>
      <c r="F21" s="55"/>
      <c r="G21" s="4"/>
      <c r="H21" s="4"/>
      <c r="I21" s="4"/>
      <c r="J21" s="4"/>
      <c r="K21" s="4"/>
      <c r="L21" s="4"/>
    </row>
    <row r="22" spans="1:12">
      <c r="A22" s="53"/>
      <c r="B22" s="3"/>
      <c r="C22" s="3"/>
      <c r="D22" s="3"/>
      <c r="E22" s="3"/>
      <c r="F22" s="55"/>
      <c r="G22" s="4"/>
      <c r="H22" s="4"/>
      <c r="I22" s="4"/>
      <c r="J22" s="4"/>
      <c r="K22" s="4"/>
      <c r="L22" s="4"/>
    </row>
    <row r="23" spans="1:12" ht="13.95" customHeight="1">
      <c r="A23" s="16" t="s">
        <v>60</v>
      </c>
      <c r="B23" s="17" t="s">
        <v>260</v>
      </c>
      <c r="C23" s="17" t="s">
        <v>261</v>
      </c>
      <c r="D23" s="17" t="s">
        <v>262</v>
      </c>
      <c r="E23" s="17" t="s">
        <v>263</v>
      </c>
      <c r="F23" s="19" t="s">
        <v>264</v>
      </c>
      <c r="G23" s="4"/>
      <c r="H23" s="165" t="s">
        <v>265</v>
      </c>
      <c r="I23" s="165"/>
      <c r="J23" s="165"/>
      <c r="K23" s="165"/>
      <c r="L23" s="165"/>
    </row>
    <row r="24" spans="1:12" ht="13.95" customHeight="1">
      <c r="A24" s="71" t="s">
        <v>67</v>
      </c>
      <c r="B24" s="72" t="str">
        <f>_xlfn.TEXTBEFORE(A24,"|")</f>
        <v>Balqa</v>
      </c>
      <c r="C24" s="72" t="str">
        <f>_xlfn.TEXTAFTER(A24,"|")</f>
        <v>Fiber|C30001|UPG</v>
      </c>
      <c r="D24" s="72" t="str">
        <f>_xlfn.TEXTBEFORE(_xlfn.TEXTAFTER(A24,"|"),"|")</f>
        <v>Fiber</v>
      </c>
      <c r="E24" s="72" t="str">
        <f>_xlfn.TEXTBEFORE(_xlfn.TEXTAFTER(A24,"|",2),"|")</f>
        <v>C30001</v>
      </c>
      <c r="F24" s="73" t="str">
        <f>_xlfn.TEXTAFTER(A24,"|",3)</f>
        <v>UPG</v>
      </c>
      <c r="G24" s="4"/>
      <c r="H24" s="4"/>
      <c r="I24" s="4"/>
      <c r="J24" s="4"/>
      <c r="K24" s="4"/>
      <c r="L24" s="4"/>
    </row>
    <row r="25" spans="1:12" ht="13.95" customHeight="1">
      <c r="A25" s="34" t="s">
        <v>71</v>
      </c>
      <c r="B25" s="74" t="str">
        <f>_xlfn.TEXTBEFORE(A25,"|")</f>
        <v>Irbid</v>
      </c>
      <c r="C25" s="74" t="str">
        <f>_xlfn.TEXTAFTER(A25,"|")</f>
        <v>5G Home|C30002|MIG</v>
      </c>
      <c r="D25" s="74" t="str">
        <f>_xlfn.TEXTBEFORE(_xlfn.TEXTAFTER(A25,"|"),"|")</f>
        <v>5G Home</v>
      </c>
      <c r="E25" s="74" t="str">
        <f>_xlfn.TEXTBEFORE(_xlfn.TEXTAFTER(A25,"|",2),"|")</f>
        <v>C30002</v>
      </c>
      <c r="F25" s="75" t="str">
        <f>_xlfn.TEXTAFTER(A25,"|",3)</f>
        <v>MIG</v>
      </c>
      <c r="G25" s="4"/>
      <c r="H25" s="16" t="s">
        <v>266</v>
      </c>
      <c r="I25" s="17" t="s">
        <v>260</v>
      </c>
      <c r="J25" s="17" t="s">
        <v>262</v>
      </c>
      <c r="K25" s="17" t="s">
        <v>263</v>
      </c>
      <c r="L25" s="19" t="s">
        <v>264</v>
      </c>
    </row>
    <row r="26" spans="1:12" ht="13.95" customHeight="1">
      <c r="A26" s="34" t="s">
        <v>75</v>
      </c>
      <c r="B26" s="74" t="str">
        <f>_xlfn.TEXTBEFORE(A26,"|")</f>
        <v>Aqaba</v>
      </c>
      <c r="C26" s="74" t="str">
        <f>_xlfn.TEXTAFTER(A26,"|")</f>
        <v>Fiber|C30003|ACT</v>
      </c>
      <c r="D26" s="74" t="str">
        <f>_xlfn.TEXTBEFORE(_xlfn.TEXTAFTER(A26,"|"),"|")</f>
        <v>Fiber</v>
      </c>
      <c r="E26" s="74" t="str">
        <f>_xlfn.TEXTBEFORE(_xlfn.TEXTAFTER(A26,"|",2),"|")</f>
        <v>C30003</v>
      </c>
      <c r="F26" s="75" t="str">
        <f>_xlfn.TEXTAFTER(A26,"|",3)</f>
        <v>ACT</v>
      </c>
      <c r="G26" s="4"/>
      <c r="H26" s="4" t="s">
        <v>82</v>
      </c>
      <c r="I26" s="82"/>
      <c r="J26" s="83"/>
      <c r="K26" s="83"/>
      <c r="L26" s="84"/>
    </row>
    <row r="27" spans="1:12" ht="13.95" customHeight="1">
      <c r="A27" s="34" t="s">
        <v>79</v>
      </c>
      <c r="B27" s="78"/>
      <c r="C27" s="78"/>
      <c r="D27" s="78"/>
      <c r="E27" s="78"/>
      <c r="F27" s="79"/>
      <c r="G27" s="4"/>
      <c r="H27" s="4"/>
      <c r="I27" s="4"/>
      <c r="J27" s="4"/>
      <c r="K27" s="4"/>
      <c r="L27" s="4"/>
    </row>
    <row r="28" spans="1:12" ht="13.95" customHeight="1">
      <c r="A28" s="34" t="s">
        <v>82</v>
      </c>
      <c r="B28" s="78"/>
      <c r="C28" s="78"/>
      <c r="D28" s="78"/>
      <c r="E28" s="78"/>
      <c r="F28" s="79"/>
      <c r="G28" s="4"/>
      <c r="H28" s="166" t="s">
        <v>267</v>
      </c>
      <c r="I28" s="166"/>
      <c r="J28" s="166"/>
      <c r="K28" s="166"/>
      <c r="L28" s="166"/>
    </row>
    <row r="29" spans="1:12" ht="13.95" customHeight="1">
      <c r="A29" s="34" t="s">
        <v>85</v>
      </c>
      <c r="B29" s="78"/>
      <c r="C29" s="78"/>
      <c r="D29" s="78"/>
      <c r="E29" s="78"/>
      <c r="F29" s="79"/>
      <c r="G29" s="4"/>
      <c r="H29" s="166"/>
      <c r="I29" s="166"/>
      <c r="J29" s="166"/>
      <c r="K29" s="166"/>
      <c r="L29" s="166"/>
    </row>
    <row r="30" spans="1:12" ht="13.95" customHeight="1">
      <c r="A30" s="34" t="s">
        <v>87</v>
      </c>
      <c r="B30" s="78"/>
      <c r="C30" s="78"/>
      <c r="D30" s="78"/>
      <c r="E30" s="78"/>
      <c r="F30" s="79"/>
      <c r="G30" s="4"/>
      <c r="H30" s="4"/>
      <c r="I30" s="4"/>
      <c r="J30" s="4"/>
      <c r="K30" s="4"/>
      <c r="L30" s="4"/>
    </row>
    <row r="31" spans="1:12" ht="13.95" customHeight="1">
      <c r="A31" s="34" t="s">
        <v>90</v>
      </c>
      <c r="B31" s="78"/>
      <c r="C31" s="78"/>
      <c r="D31" s="78"/>
      <c r="E31" s="78"/>
      <c r="F31" s="79"/>
      <c r="G31" s="4"/>
      <c r="H31" s="4"/>
      <c r="I31" s="4"/>
      <c r="J31" s="4"/>
      <c r="K31" s="4"/>
      <c r="L31" s="4"/>
    </row>
    <row r="32" spans="1:12" ht="13.95" customHeight="1">
      <c r="A32" s="34" t="s">
        <v>93</v>
      </c>
      <c r="B32" s="78"/>
      <c r="C32" s="78"/>
      <c r="D32" s="78"/>
      <c r="E32" s="78"/>
      <c r="F32" s="79"/>
      <c r="G32" s="4"/>
      <c r="H32" s="4"/>
      <c r="I32" s="4"/>
      <c r="J32" s="4"/>
      <c r="K32" s="4"/>
      <c r="L32" s="4"/>
    </row>
    <row r="33" spans="1:12" ht="13.95" customHeight="1">
      <c r="A33" s="34" t="s">
        <v>96</v>
      </c>
      <c r="B33" s="78"/>
      <c r="C33" s="78"/>
      <c r="D33" s="78"/>
      <c r="E33" s="78"/>
      <c r="F33" s="79"/>
      <c r="G33" s="4"/>
      <c r="H33" s="4"/>
      <c r="I33" s="4"/>
      <c r="J33" s="4"/>
      <c r="K33" s="4"/>
      <c r="L33" s="4"/>
    </row>
    <row r="34" spans="1:12" ht="13.95" customHeight="1">
      <c r="A34" s="34" t="s">
        <v>99</v>
      </c>
      <c r="B34" s="78"/>
      <c r="C34" s="78"/>
      <c r="D34" s="78"/>
      <c r="E34" s="78"/>
      <c r="F34" s="79"/>
      <c r="G34" s="4"/>
      <c r="H34" s="4"/>
      <c r="I34" s="4"/>
      <c r="J34" s="4"/>
      <c r="K34" s="4"/>
      <c r="L34" s="4"/>
    </row>
    <row r="35" spans="1:12" ht="13.95" customHeight="1">
      <c r="A35" s="34" t="s">
        <v>102</v>
      </c>
      <c r="B35" s="78"/>
      <c r="C35" s="78"/>
      <c r="D35" s="78"/>
      <c r="E35" s="78"/>
      <c r="F35" s="79"/>
      <c r="G35" s="4"/>
      <c r="H35" s="4"/>
      <c r="I35" s="4"/>
      <c r="J35" s="4"/>
      <c r="K35" s="4"/>
      <c r="L35" s="4"/>
    </row>
    <row r="36" spans="1:12" ht="13.95" customHeight="1">
      <c r="A36" s="34" t="s">
        <v>104</v>
      </c>
      <c r="B36" s="78"/>
      <c r="C36" s="78"/>
      <c r="D36" s="78"/>
      <c r="E36" s="78"/>
      <c r="F36" s="79"/>
      <c r="G36" s="4"/>
      <c r="H36" s="4"/>
      <c r="I36" s="4"/>
      <c r="J36" s="4"/>
      <c r="K36" s="4"/>
      <c r="L36" s="4"/>
    </row>
    <row r="37" spans="1:12" ht="13.95" customHeight="1">
      <c r="A37" s="34" t="s">
        <v>107</v>
      </c>
      <c r="B37" s="78"/>
      <c r="C37" s="78"/>
      <c r="D37" s="78"/>
      <c r="E37" s="78"/>
      <c r="F37" s="79"/>
      <c r="G37" s="4"/>
      <c r="H37" s="4"/>
      <c r="I37" s="4"/>
      <c r="J37" s="4"/>
      <c r="K37" s="4"/>
      <c r="L37" s="4"/>
    </row>
    <row r="38" spans="1:12" ht="13.95" customHeight="1">
      <c r="A38" s="34" t="s">
        <v>110</v>
      </c>
      <c r="B38" s="78"/>
      <c r="C38" s="78"/>
      <c r="D38" s="78"/>
      <c r="E38" s="78"/>
      <c r="F38" s="79"/>
      <c r="G38" s="4"/>
      <c r="H38" s="4"/>
      <c r="I38" s="4"/>
      <c r="J38" s="4"/>
      <c r="K38" s="4"/>
      <c r="L38" s="4"/>
    </row>
    <row r="39" spans="1:12" ht="13.95" customHeight="1">
      <c r="A39" s="34" t="s">
        <v>113</v>
      </c>
      <c r="B39" s="78"/>
      <c r="C39" s="78"/>
      <c r="D39" s="78"/>
      <c r="E39" s="78"/>
      <c r="F39" s="79"/>
      <c r="G39" s="4"/>
      <c r="H39" s="4"/>
      <c r="I39" s="4"/>
      <c r="J39" s="4"/>
      <c r="K39" s="4"/>
      <c r="L39" s="4"/>
    </row>
    <row r="40" spans="1:12" ht="13.95" customHeight="1">
      <c r="A40" s="34" t="s">
        <v>116</v>
      </c>
      <c r="B40" s="78"/>
      <c r="C40" s="78"/>
      <c r="D40" s="78"/>
      <c r="E40" s="78"/>
      <c r="F40" s="79"/>
      <c r="G40" s="4"/>
      <c r="H40" s="4"/>
      <c r="I40" s="4"/>
      <c r="J40" s="4"/>
      <c r="K40" s="4"/>
      <c r="L40" s="4"/>
    </row>
    <row r="41" spans="1:12" ht="13.95" customHeight="1">
      <c r="A41" s="36" t="s">
        <v>119</v>
      </c>
      <c r="B41" s="80"/>
      <c r="C41" s="80"/>
      <c r="D41" s="80"/>
      <c r="E41" s="80"/>
      <c r="F41" s="81"/>
      <c r="G41" s="4"/>
      <c r="H41" s="4"/>
      <c r="I41" s="4"/>
      <c r="J41" s="4"/>
      <c r="K41" s="4"/>
      <c r="L41" s="4"/>
    </row>
    <row r="42" spans="1:1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spans="1:1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spans="1:1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spans="1:1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spans="1:1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spans="1:1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1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spans="1:1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1:1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spans="1:1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spans="1:1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</sheetData>
  <mergeCells count="12">
    <mergeCell ref="A1:L2"/>
    <mergeCell ref="A3:L3"/>
    <mergeCell ref="A5:L6"/>
    <mergeCell ref="A7:L8"/>
    <mergeCell ref="H10:L10"/>
    <mergeCell ref="H23:L23"/>
    <mergeCell ref="H28:L29"/>
    <mergeCell ref="H11:L12"/>
    <mergeCell ref="A16:D18"/>
    <mergeCell ref="E16:H18"/>
    <mergeCell ref="I16:L18"/>
    <mergeCell ref="A20:L20"/>
  </mergeCells>
  <dataValidations count="6">
    <dataValidation allowBlank="1" showInputMessage="1" promptTitle="Composite Key | المفتاح المركب" prompt="Structured text separated by |._x000a_نص منظم يفصل بين حقوله الرمز |." sqref="A23" xr:uid="{00000000-0002-0000-0300-000000000000}"/>
    <dataValidation allowBlank="1" showInputMessage="1" promptTitle="Region | المنطقة" prompt="Extract the first field._x000a_استخرج أول حقل." sqref="B23" xr:uid="{00000000-0002-0000-0300-000001000000}"/>
    <dataValidation allowBlank="1" showInputMessage="1" promptTitle="After 1st | | بعد أول فاصل" prompt="Return everything after the first delimiter._x000a_أرجع كل ما بعد أول فاصل." sqref="C23" xr:uid="{00000000-0002-0000-0300-000002000000}"/>
    <dataValidation allowBlank="1" showInputMessage="1" promptTitle="Service | الخدمة" prompt="Extract the second field._x000a_استخرج الحقل الثاني." sqref="D23" xr:uid="{00000000-0002-0000-0300-000003000000}"/>
    <dataValidation allowBlank="1" showInputMessage="1" promptTitle="Customer ID | رقم العميل" prompt="Extract the third field._x000a_استخرج الحقل الثالث." sqref="E23" xr:uid="{00000000-0002-0000-0300-000004000000}"/>
    <dataValidation allowBlank="1" showInputMessage="1" promptTitle="Order Type | نوع الطلب" prompt="Extract the fourth field._x000a_استخرج الحقل الرابع." sqref="F23" xr:uid="{00000000-0002-0000-0300-000005000000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8"/>
  <sheetViews>
    <sheetView topLeftCell="A7" workbookViewId="0">
      <selection activeCell="E25" sqref="E25"/>
    </sheetView>
  </sheetViews>
  <sheetFormatPr defaultRowHeight="13.8"/>
  <cols>
    <col min="1" max="1" width="15" customWidth="1"/>
    <col min="2" max="2" width="23" customWidth="1"/>
    <col min="3" max="3" width="13" customWidth="1"/>
    <col min="4" max="4" width="15" customWidth="1"/>
    <col min="5" max="5" width="20" customWidth="1"/>
    <col min="6" max="6" width="4" customWidth="1"/>
    <col min="7" max="8" width="28" customWidth="1"/>
  </cols>
  <sheetData>
    <row r="1" spans="1:8">
      <c r="A1" s="160" t="s">
        <v>268</v>
      </c>
      <c r="B1" s="160"/>
      <c r="C1" s="160"/>
      <c r="D1" s="160"/>
      <c r="E1" s="160"/>
      <c r="F1" s="160"/>
      <c r="G1" s="160"/>
      <c r="H1" s="160"/>
    </row>
    <row r="2" spans="1:8">
      <c r="A2" s="160"/>
      <c r="B2" s="160"/>
      <c r="C2" s="160"/>
      <c r="D2" s="160"/>
      <c r="E2" s="160"/>
      <c r="F2" s="160"/>
      <c r="G2" s="160"/>
      <c r="H2" s="160"/>
    </row>
    <row r="3" spans="1:8">
      <c r="A3" s="146" t="s">
        <v>269</v>
      </c>
      <c r="B3" s="147"/>
      <c r="C3" s="147"/>
      <c r="D3" s="147"/>
      <c r="E3" s="147"/>
      <c r="F3" s="147"/>
      <c r="G3" s="147"/>
      <c r="H3" s="147"/>
    </row>
    <row r="4" spans="1:8" ht="3.9" customHeight="1">
      <c r="A4" s="4"/>
      <c r="B4" s="4"/>
      <c r="C4" s="4"/>
      <c r="D4" s="4"/>
      <c r="E4" s="4"/>
      <c r="F4" s="4"/>
      <c r="G4" s="4"/>
      <c r="H4" s="4"/>
    </row>
    <row r="5" spans="1:8">
      <c r="A5" s="154" t="s">
        <v>270</v>
      </c>
      <c r="B5" s="155"/>
      <c r="C5" s="155"/>
      <c r="D5" s="155"/>
      <c r="E5" s="155"/>
      <c r="F5" s="155"/>
      <c r="G5" s="155"/>
      <c r="H5" s="155"/>
    </row>
    <row r="6" spans="1:8">
      <c r="A6" s="154"/>
      <c r="B6" s="155"/>
      <c r="C6" s="155"/>
      <c r="D6" s="155"/>
      <c r="E6" s="155"/>
      <c r="F6" s="155"/>
      <c r="G6" s="155"/>
      <c r="H6" s="155"/>
    </row>
    <row r="7" spans="1:8" ht="15.3" customHeight="1">
      <c r="A7" s="201" t="s">
        <v>271</v>
      </c>
      <c r="B7" s="202"/>
      <c r="C7" s="202"/>
      <c r="D7" s="202"/>
      <c r="E7" s="202"/>
      <c r="F7" s="202"/>
      <c r="G7" s="202"/>
      <c r="H7" s="203"/>
    </row>
    <row r="8" spans="1:8" ht="15.3" customHeight="1">
      <c r="A8" s="202"/>
      <c r="B8" s="202"/>
      <c r="C8" s="202"/>
      <c r="D8" s="202"/>
      <c r="E8" s="202"/>
      <c r="F8" s="202"/>
      <c r="G8" s="202"/>
      <c r="H8" s="203"/>
    </row>
    <row r="9" spans="1:8">
      <c r="A9" s="9"/>
      <c r="B9" s="10"/>
      <c r="C9" s="10"/>
      <c r="D9" s="10"/>
      <c r="E9" s="11"/>
      <c r="F9" s="4"/>
      <c r="G9" s="4"/>
      <c r="H9" s="4"/>
    </row>
    <row r="10" spans="1:8">
      <c r="A10" s="16" t="s">
        <v>59</v>
      </c>
      <c r="B10" s="17" t="s">
        <v>61</v>
      </c>
      <c r="C10" s="17" t="s">
        <v>272</v>
      </c>
      <c r="D10" s="17" t="s">
        <v>273</v>
      </c>
      <c r="E10" s="19" t="s">
        <v>274</v>
      </c>
      <c r="F10" s="4"/>
      <c r="G10" s="150" t="s">
        <v>275</v>
      </c>
      <c r="H10" s="150"/>
    </row>
    <row r="11" spans="1:8">
      <c r="A11" s="26" t="s">
        <v>276</v>
      </c>
      <c r="B11" s="27" t="s">
        <v>68</v>
      </c>
      <c r="C11" s="27" t="s">
        <v>277</v>
      </c>
      <c r="D11" s="27" t="s">
        <v>278</v>
      </c>
      <c r="E11" s="58" t="s">
        <v>279</v>
      </c>
      <c r="F11" s="4"/>
      <c r="G11" s="167" t="str">
        <f>"=ISTEXT(66272)  →  FALSE
=ISNONTEXT(66272)  →  TRUE"</f>
        <v>=ISTEXT(66272)  →  FALSE
=ISNONTEXT(66272)  →  TRUE</v>
      </c>
      <c r="H11" s="167"/>
    </row>
    <row r="12" spans="1:8">
      <c r="A12" s="30" t="s">
        <v>280</v>
      </c>
      <c r="B12" s="20">
        <v>66272</v>
      </c>
      <c r="C12" s="20" t="s">
        <v>277</v>
      </c>
      <c r="D12" s="69" t="s">
        <v>281</v>
      </c>
      <c r="E12" s="85" t="s">
        <v>282</v>
      </c>
      <c r="F12" s="4"/>
      <c r="G12" s="167"/>
      <c r="H12" s="167"/>
    </row>
    <row r="13" spans="1:8">
      <c r="A13" s="30" t="s">
        <v>283</v>
      </c>
      <c r="B13" s="20" t="s">
        <v>91</v>
      </c>
      <c r="C13" s="20" t="s">
        <v>277</v>
      </c>
      <c r="D13" s="20" t="s">
        <v>278</v>
      </c>
      <c r="E13" s="60" t="s">
        <v>279</v>
      </c>
      <c r="F13" s="4"/>
      <c r="G13" s="4"/>
      <c r="H13" s="4"/>
    </row>
    <row r="14" spans="1:8" ht="27.6" customHeight="1">
      <c r="A14" s="30" t="s">
        <v>284</v>
      </c>
      <c r="B14" s="20">
        <v>33507</v>
      </c>
      <c r="C14" s="20" t="s">
        <v>277</v>
      </c>
      <c r="D14" s="69" t="s">
        <v>281</v>
      </c>
      <c r="E14" s="85" t="s">
        <v>282</v>
      </c>
      <c r="F14" s="4"/>
      <c r="G14" s="183" t="s">
        <v>285</v>
      </c>
      <c r="H14" s="183"/>
    </row>
    <row r="15" spans="1:8">
      <c r="A15" s="65" t="s">
        <v>286</v>
      </c>
      <c r="B15" s="66" t="s">
        <v>108</v>
      </c>
      <c r="C15" s="66" t="s">
        <v>277</v>
      </c>
      <c r="D15" s="66" t="s">
        <v>278</v>
      </c>
      <c r="E15" s="67" t="s">
        <v>279</v>
      </c>
      <c r="F15" s="4"/>
      <c r="G15" s="183"/>
      <c r="H15" s="183"/>
    </row>
    <row r="16" spans="1:8">
      <c r="A16" s="53"/>
      <c r="B16" s="3"/>
      <c r="C16" s="3"/>
      <c r="D16" s="3"/>
      <c r="E16" s="55"/>
      <c r="F16" s="4"/>
      <c r="G16" s="4"/>
      <c r="H16" s="4"/>
    </row>
    <row r="17" spans="1:8">
      <c r="A17" s="53"/>
      <c r="B17" s="3"/>
      <c r="C17" s="3"/>
      <c r="D17" s="3"/>
      <c r="E17" s="55"/>
      <c r="F17" s="4"/>
      <c r="G17" s="4"/>
      <c r="H17" s="4"/>
    </row>
    <row r="18" spans="1:8" ht="35.4" customHeight="1">
      <c r="A18" s="168" t="s">
        <v>287</v>
      </c>
      <c r="B18" s="169"/>
      <c r="C18" s="169"/>
      <c r="D18" s="170"/>
      <c r="E18" s="207" t="s">
        <v>288</v>
      </c>
      <c r="F18" s="179"/>
      <c r="G18" s="179"/>
      <c r="H18" s="180"/>
    </row>
    <row r="19" spans="1:8">
      <c r="A19" s="171"/>
      <c r="B19" s="172"/>
      <c r="C19" s="172"/>
      <c r="D19" s="173"/>
      <c r="E19" s="208"/>
      <c r="F19" s="183"/>
      <c r="G19" s="183"/>
      <c r="H19" s="184"/>
    </row>
    <row r="20" spans="1:8">
      <c r="A20" s="174"/>
      <c r="B20" s="175"/>
      <c r="C20" s="175"/>
      <c r="D20" s="176"/>
      <c r="E20" s="209"/>
      <c r="F20" s="187"/>
      <c r="G20" s="187"/>
      <c r="H20" s="188"/>
    </row>
    <row r="21" spans="1:8">
      <c r="A21" s="53"/>
      <c r="B21" s="3"/>
      <c r="C21" s="3"/>
      <c r="D21" s="3"/>
      <c r="E21" s="55"/>
      <c r="F21" s="4"/>
      <c r="G21" s="4"/>
      <c r="H21" s="4"/>
    </row>
    <row r="22" spans="1:8">
      <c r="A22" s="53"/>
      <c r="B22" s="3"/>
      <c r="C22" s="3"/>
      <c r="D22" s="3"/>
      <c r="E22" s="55"/>
      <c r="F22" s="4"/>
      <c r="G22" s="4"/>
      <c r="H22" s="4"/>
    </row>
    <row r="23" spans="1:8" ht="13.95" customHeight="1">
      <c r="A23" s="16" t="s">
        <v>59</v>
      </c>
      <c r="B23" s="17" t="s">
        <v>61</v>
      </c>
      <c r="C23" s="17" t="s">
        <v>289</v>
      </c>
      <c r="D23" s="17" t="s">
        <v>290</v>
      </c>
      <c r="E23" s="19" t="s">
        <v>291</v>
      </c>
      <c r="F23" s="4"/>
      <c r="G23" s="4"/>
      <c r="H23" s="4"/>
    </row>
    <row r="24" spans="1:8" ht="13.95" customHeight="1">
      <c r="A24" s="26" t="s">
        <v>66</v>
      </c>
      <c r="B24" s="27" t="s">
        <v>68</v>
      </c>
      <c r="C24" s="76" t="b">
        <f>ISTEXT(B24)</f>
        <v>1</v>
      </c>
      <c r="D24" s="76" t="b">
        <f>ISNONTEXT(B24)</f>
        <v>0</v>
      </c>
      <c r="E24" s="77" t="str">
        <f>IF(ISTEXT(B24),"Valid Text ID","Review Type")</f>
        <v>Valid Text ID</v>
      </c>
      <c r="F24" s="4"/>
      <c r="G24" s="4"/>
      <c r="H24" s="4"/>
    </row>
    <row r="25" spans="1:8" ht="13.95" customHeight="1">
      <c r="A25" s="30" t="s">
        <v>70</v>
      </c>
      <c r="B25" s="20" t="s">
        <v>72</v>
      </c>
      <c r="C25" s="86" t="b">
        <f>ISTEXT(B25)</f>
        <v>1</v>
      </c>
      <c r="D25" s="86" t="b">
        <f>ISNONTEXT(B25)</f>
        <v>0</v>
      </c>
      <c r="E25" s="87" t="str">
        <f>IF(ISTEXT(B25),"Valid Text ID","Review Type")</f>
        <v>Valid Text ID</v>
      </c>
      <c r="F25" s="4"/>
      <c r="G25" s="4"/>
      <c r="H25" s="4"/>
    </row>
    <row r="26" spans="1:8" ht="13.95" customHeight="1">
      <c r="A26" s="30" t="s">
        <v>81</v>
      </c>
      <c r="B26" s="20" t="s">
        <v>83</v>
      </c>
      <c r="C26" s="86" t="b">
        <f>ISTEXT(B26)</f>
        <v>1</v>
      </c>
      <c r="D26" s="86" t="b">
        <f>ISNONTEXT(B26)</f>
        <v>0</v>
      </c>
      <c r="E26" s="87" t="str">
        <f>IF(ISTEXT(B26),"Valid Text ID","Review Type")</f>
        <v>Valid Text ID</v>
      </c>
      <c r="F26" s="4"/>
      <c r="G26" s="4"/>
      <c r="H26" s="4"/>
    </row>
    <row r="27" spans="1:8" ht="13.95" customHeight="1">
      <c r="A27" s="30" t="s">
        <v>84</v>
      </c>
      <c r="B27" s="20">
        <v>66272</v>
      </c>
      <c r="C27" s="88"/>
      <c r="D27" s="88"/>
      <c r="E27" s="89"/>
      <c r="F27" s="4"/>
      <c r="G27" s="4"/>
      <c r="H27" s="4"/>
    </row>
    <row r="28" spans="1:8" ht="13.95" customHeight="1">
      <c r="A28" s="30" t="s">
        <v>89</v>
      </c>
      <c r="B28" s="20" t="s">
        <v>91</v>
      </c>
      <c r="C28" s="88"/>
      <c r="D28" s="88"/>
      <c r="E28" s="89"/>
      <c r="F28" s="4"/>
      <c r="G28" s="4"/>
      <c r="H28" s="4"/>
    </row>
    <row r="29" spans="1:8" ht="13.95" customHeight="1">
      <c r="A29" s="31" t="s">
        <v>98</v>
      </c>
      <c r="B29" s="23" t="s">
        <v>100</v>
      </c>
      <c r="C29" s="90"/>
      <c r="D29" s="90"/>
      <c r="E29" s="91"/>
      <c r="F29" s="4"/>
      <c r="G29" s="4"/>
      <c r="H29" s="4"/>
    </row>
    <row r="30" spans="1:8" ht="13.95" customHeight="1">
      <c r="A30" s="34" t="s">
        <v>101</v>
      </c>
      <c r="B30" s="35">
        <v>33507</v>
      </c>
      <c r="C30" s="78"/>
      <c r="D30" s="78"/>
      <c r="E30" s="79"/>
      <c r="F30" s="4"/>
      <c r="G30" s="4"/>
      <c r="H30" s="4"/>
    </row>
    <row r="31" spans="1:8" ht="13.95" customHeight="1">
      <c r="A31" s="34" t="s">
        <v>106</v>
      </c>
      <c r="B31" s="35" t="s">
        <v>108</v>
      </c>
      <c r="C31" s="78"/>
      <c r="D31" s="78"/>
      <c r="E31" s="79"/>
      <c r="F31" s="4"/>
      <c r="G31" s="4"/>
      <c r="H31" s="4"/>
    </row>
    <row r="32" spans="1:8" ht="13.95" customHeight="1">
      <c r="A32" s="34" t="s">
        <v>118</v>
      </c>
      <c r="B32" s="35">
        <v>46677</v>
      </c>
      <c r="C32" s="78"/>
      <c r="D32" s="78"/>
      <c r="E32" s="79"/>
      <c r="F32" s="4"/>
      <c r="G32" s="4"/>
      <c r="H32" s="4"/>
    </row>
    <row r="33" spans="1:8" ht="13.95" customHeight="1">
      <c r="A33" s="34" t="s">
        <v>120</v>
      </c>
      <c r="B33" s="35" t="s">
        <v>122</v>
      </c>
      <c r="C33" s="78"/>
      <c r="D33" s="78"/>
      <c r="E33" s="79"/>
      <c r="F33" s="4"/>
      <c r="G33" s="4"/>
      <c r="H33" s="4"/>
    </row>
    <row r="34" spans="1:8" ht="13.95" customHeight="1">
      <c r="A34" s="34" t="s">
        <v>135</v>
      </c>
      <c r="B34" s="35">
        <v>44735</v>
      </c>
      <c r="C34" s="78"/>
      <c r="D34" s="78"/>
      <c r="E34" s="79"/>
      <c r="F34" s="4"/>
      <c r="G34" s="4"/>
      <c r="H34" s="4"/>
    </row>
    <row r="35" spans="1:8" ht="13.95" customHeight="1">
      <c r="A35" s="34" t="s">
        <v>152</v>
      </c>
      <c r="B35" s="35">
        <v>53456</v>
      </c>
      <c r="C35" s="78"/>
      <c r="D35" s="78"/>
      <c r="E35" s="79"/>
      <c r="F35" s="4"/>
      <c r="G35" s="4"/>
      <c r="H35" s="4"/>
    </row>
    <row r="36" spans="1:8" ht="13.95" customHeight="1">
      <c r="A36" s="34" t="s">
        <v>169</v>
      </c>
      <c r="B36" s="35">
        <v>60905</v>
      </c>
      <c r="C36" s="78"/>
      <c r="D36" s="78"/>
      <c r="E36" s="79"/>
      <c r="F36" s="4"/>
      <c r="G36" s="4"/>
      <c r="H36" s="4"/>
    </row>
    <row r="37" spans="1:8" ht="13.95" customHeight="1">
      <c r="A37" s="34" t="s">
        <v>186</v>
      </c>
      <c r="B37" s="35">
        <v>79002</v>
      </c>
      <c r="C37" s="78"/>
      <c r="D37" s="78"/>
      <c r="E37" s="79"/>
      <c r="F37" s="4"/>
      <c r="G37" s="4"/>
      <c r="H37" s="4"/>
    </row>
    <row r="38" spans="1:8" ht="13.95" customHeight="1">
      <c r="A38" s="34" t="s">
        <v>203</v>
      </c>
      <c r="B38" s="35">
        <v>84381</v>
      </c>
      <c r="C38" s="78"/>
      <c r="D38" s="78"/>
      <c r="E38" s="79"/>
      <c r="F38" s="4"/>
      <c r="G38" s="4"/>
      <c r="H38" s="4"/>
    </row>
    <row r="39" spans="1:8" ht="13.95" customHeight="1">
      <c r="A39" s="34" t="s">
        <v>220</v>
      </c>
      <c r="B39" s="35">
        <v>48654</v>
      </c>
      <c r="C39" s="78"/>
      <c r="D39" s="78"/>
      <c r="E39" s="79"/>
      <c r="F39" s="4"/>
      <c r="G39" s="4"/>
      <c r="H39" s="4"/>
    </row>
    <row r="40" spans="1:8" ht="13.95" customHeight="1">
      <c r="A40" s="36" t="s">
        <v>237</v>
      </c>
      <c r="B40" s="37">
        <v>32391</v>
      </c>
      <c r="C40" s="80"/>
      <c r="D40" s="80"/>
      <c r="E40" s="81"/>
      <c r="F40" s="4"/>
      <c r="G40" s="4"/>
      <c r="H40" s="4"/>
    </row>
    <row r="41" spans="1:8">
      <c r="A41" s="4"/>
      <c r="B41" s="4"/>
      <c r="C41" s="4"/>
      <c r="D41" s="4"/>
      <c r="E41" s="4"/>
      <c r="F41" s="4"/>
      <c r="G41" s="4"/>
      <c r="H41" s="4"/>
    </row>
    <row r="42" spans="1:8">
      <c r="A42" s="4"/>
      <c r="B42" s="4"/>
      <c r="C42" s="4"/>
      <c r="D42" s="4"/>
      <c r="E42" s="4"/>
      <c r="F42" s="4"/>
      <c r="G42" s="4"/>
      <c r="H42" s="4"/>
    </row>
    <row r="43" spans="1:8">
      <c r="A43" s="4"/>
      <c r="B43" s="4"/>
      <c r="C43" s="4"/>
      <c r="D43" s="4"/>
      <c r="E43" s="4"/>
      <c r="F43" s="4"/>
      <c r="G43" s="4"/>
      <c r="H43" s="4"/>
    </row>
    <row r="44" spans="1:8">
      <c r="A44" s="4"/>
      <c r="B44" s="4"/>
      <c r="C44" s="4"/>
      <c r="D44" s="4"/>
      <c r="E44" s="4"/>
      <c r="F44" s="4"/>
      <c r="G44" s="4"/>
      <c r="H44" s="4"/>
    </row>
    <row r="45" spans="1:8">
      <c r="A45" s="4"/>
      <c r="B45" s="4"/>
      <c r="C45" s="4"/>
      <c r="D45" s="4"/>
      <c r="E45" s="4"/>
      <c r="F45" s="4"/>
      <c r="G45" s="4"/>
      <c r="H45" s="4"/>
    </row>
    <row r="46" spans="1:8">
      <c r="A46" s="4"/>
      <c r="B46" s="4"/>
      <c r="C46" s="4"/>
      <c r="D46" s="4"/>
      <c r="E46" s="4"/>
      <c r="F46" s="4"/>
      <c r="G46" s="4"/>
      <c r="H46" s="4"/>
    </row>
    <row r="47" spans="1:8">
      <c r="A47" s="4"/>
      <c r="B47" s="4"/>
      <c r="C47" s="4"/>
      <c r="D47" s="4"/>
      <c r="E47" s="4"/>
      <c r="F47" s="4"/>
      <c r="G47" s="4"/>
      <c r="H47" s="4"/>
    </row>
    <row r="48" spans="1:8">
      <c r="A48" s="4"/>
      <c r="B48" s="4"/>
      <c r="C48" s="4"/>
      <c r="D48" s="4"/>
      <c r="E48" s="4"/>
      <c r="F48" s="4"/>
      <c r="G48" s="4"/>
      <c r="H48" s="4"/>
    </row>
  </sheetData>
  <mergeCells count="9">
    <mergeCell ref="G11:H12"/>
    <mergeCell ref="G14:H15"/>
    <mergeCell ref="A18:D20"/>
    <mergeCell ref="E18:H20"/>
    <mergeCell ref="A1:H2"/>
    <mergeCell ref="A3:H3"/>
    <mergeCell ref="A5:H6"/>
    <mergeCell ref="A7:H8"/>
    <mergeCell ref="G10:H10"/>
  </mergeCells>
  <conditionalFormatting sqref="E24:E40">
    <cfRule type="expression" dxfId="2" priority="1">
      <formula>E24="Review Type"</formula>
    </cfRule>
  </conditionalFormatting>
  <dataValidations count="5">
    <dataValidation allowBlank="1" showInputMessage="1" promptTitle="Order ID | رقم الطلب" prompt="Service order identifier._x000a_رقم طلب الخدمة." sqref="A23" xr:uid="{00000000-0002-0000-0400-000000000000}"/>
    <dataValidation allowBlank="1" showInputMessage="1" promptTitle="Account Reference | مرجع الحساب" prompt="Value to validate; some rows are intentionally numeric._x000a_القيمة المطلوب فحصها وبعض الصفوف أرقام بشكل مقصود." sqref="B23" xr:uid="{00000000-0002-0000-0400-000001000000}"/>
    <dataValidation allowBlank="1" showInputMessage="1" promptTitle="ISTEXT | هل هي Text؟" prompt="TRUE when Excel stores the value as text._x000a_TRUE إذا كانت القيمة مخزنة كنص." sqref="C23" xr:uid="{00000000-0002-0000-0400-000002000000}"/>
    <dataValidation allowBlank="1" showInputMessage="1" promptTitle="ISNONTEXT | ليست Text؟" prompt="TRUE when the value is not text._x000a_TRUE إذا لم تكن القيمة نصاً." sqref="D23" xr:uid="{00000000-0002-0000-0400-000003000000}"/>
    <dataValidation allowBlank="1" showInputMessage="1" promptTitle="Quality Flag | مؤشر الجودة" prompt="Business-friendly flag built from the type test._x000a_نتيجة مفهومة للعمل مبنية على فحص النوع." sqref="E23" xr:uid="{00000000-0002-0000-0400-000004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0"/>
  <sheetViews>
    <sheetView topLeftCell="A12" workbookViewId="0">
      <selection activeCell="H20" sqref="H20"/>
    </sheetView>
  </sheetViews>
  <sheetFormatPr defaultRowHeight="13.8"/>
  <cols>
    <col min="1" max="1" width="14" customWidth="1"/>
    <col min="2" max="4" width="15" customWidth="1"/>
    <col min="5" max="5" width="11" customWidth="1"/>
    <col min="6" max="6" width="27" customWidth="1"/>
    <col min="7" max="7" width="24" customWidth="1"/>
    <col min="8" max="8" width="18" customWidth="1"/>
    <col min="9" max="9" width="4" customWidth="1"/>
    <col min="10" max="10" width="22" customWidth="1"/>
  </cols>
  <sheetData>
    <row r="1" spans="1:10">
      <c r="A1" s="160" t="s">
        <v>292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>
      <c r="A2" s="160"/>
      <c r="B2" s="160"/>
      <c r="C2" s="160"/>
      <c r="D2" s="160"/>
      <c r="E2" s="160"/>
      <c r="F2" s="160"/>
      <c r="G2" s="160"/>
      <c r="H2" s="160"/>
      <c r="I2" s="160"/>
      <c r="J2" s="160"/>
    </row>
    <row r="3" spans="1:10" ht="24.6" customHeight="1">
      <c r="A3" s="226" t="s">
        <v>293</v>
      </c>
      <c r="B3" s="227"/>
      <c r="C3" s="227"/>
      <c r="D3" s="227"/>
      <c r="E3" s="227"/>
      <c r="F3" s="227"/>
      <c r="G3" s="227"/>
      <c r="H3" s="227"/>
      <c r="I3" s="227"/>
      <c r="J3" s="227"/>
    </row>
    <row r="4" spans="1:10" ht="3.9" customHeight="1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>
      <c r="A5" s="154" t="s">
        <v>294</v>
      </c>
      <c r="B5" s="155"/>
      <c r="C5" s="155"/>
      <c r="D5" s="155"/>
      <c r="E5" s="155"/>
      <c r="F5" s="155"/>
      <c r="G5" s="155"/>
      <c r="H5" s="155"/>
      <c r="I5" s="155"/>
      <c r="J5" s="155"/>
    </row>
    <row r="6" spans="1:10">
      <c r="A6" s="154"/>
      <c r="B6" s="155"/>
      <c r="C6" s="155"/>
      <c r="D6" s="155"/>
      <c r="E6" s="155"/>
      <c r="F6" s="155"/>
      <c r="G6" s="155"/>
      <c r="H6" s="155"/>
      <c r="I6" s="155"/>
      <c r="J6" s="155"/>
    </row>
    <row r="7" spans="1:10" ht="15.3" customHeight="1">
      <c r="A7" s="223" t="s">
        <v>295</v>
      </c>
      <c r="B7" s="224"/>
      <c r="C7" s="224"/>
      <c r="D7" s="224"/>
      <c r="E7" s="224"/>
      <c r="F7" s="224"/>
      <c r="G7" s="224"/>
      <c r="H7" s="224"/>
      <c r="I7" s="224"/>
      <c r="J7" s="225"/>
    </row>
    <row r="8" spans="1:10" ht="15.3" customHeight="1">
      <c r="A8" s="224"/>
      <c r="B8" s="224"/>
      <c r="C8" s="224"/>
      <c r="D8" s="224"/>
      <c r="E8" s="224"/>
      <c r="F8" s="224"/>
      <c r="G8" s="224"/>
      <c r="H8" s="224"/>
      <c r="I8" s="224"/>
      <c r="J8" s="225"/>
    </row>
    <row r="9" spans="1:10">
      <c r="A9" s="9"/>
      <c r="B9" s="10"/>
      <c r="C9" s="10"/>
      <c r="D9" s="10"/>
      <c r="E9" s="10"/>
      <c r="F9" s="10"/>
      <c r="G9" s="10"/>
      <c r="H9" s="11"/>
      <c r="I9" s="4"/>
      <c r="J9" s="92"/>
    </row>
    <row r="10" spans="1:10">
      <c r="A10" s="16" t="s">
        <v>296</v>
      </c>
      <c r="B10" s="56" t="s">
        <v>297</v>
      </c>
      <c r="C10" s="56" t="s">
        <v>298</v>
      </c>
      <c r="D10" s="93" t="s">
        <v>299</v>
      </c>
      <c r="E10" s="52"/>
      <c r="F10" s="213" t="s">
        <v>300</v>
      </c>
      <c r="G10" s="213"/>
      <c r="H10" s="214"/>
      <c r="I10" s="150"/>
      <c r="J10" s="215"/>
    </row>
    <row r="11" spans="1:10">
      <c r="A11" s="95">
        <v>46271</v>
      </c>
      <c r="B11" s="94">
        <v>46273</v>
      </c>
      <c r="C11" s="96">
        <v>4</v>
      </c>
      <c r="D11" s="97">
        <v>3</v>
      </c>
      <c r="E11" s="3"/>
      <c r="F11" s="98" t="s">
        <v>301</v>
      </c>
      <c r="G11" s="6" t="s">
        <v>302</v>
      </c>
      <c r="H11" s="182" t="s">
        <v>303</v>
      </c>
      <c r="I11" s="183"/>
      <c r="J11" s="183"/>
    </row>
    <row r="12" spans="1:10">
      <c r="A12" s="53"/>
      <c r="B12" s="54"/>
      <c r="C12" s="54"/>
      <c r="D12" s="54"/>
      <c r="E12" s="3"/>
      <c r="F12" s="99" t="s">
        <v>304</v>
      </c>
      <c r="G12" s="7" t="s">
        <v>305</v>
      </c>
      <c r="H12" s="182"/>
      <c r="I12" s="183"/>
      <c r="J12" s="183"/>
    </row>
    <row r="13" spans="1:10" ht="24">
      <c r="A13" s="211" t="s">
        <v>342</v>
      </c>
      <c r="B13" s="212"/>
      <c r="C13" s="212"/>
      <c r="D13" s="212"/>
      <c r="E13" s="3"/>
      <c r="F13" s="99" t="s">
        <v>306</v>
      </c>
      <c r="G13" s="7" t="s">
        <v>307</v>
      </c>
      <c r="H13" s="182"/>
      <c r="I13" s="183"/>
      <c r="J13" s="183"/>
    </row>
    <row r="14" spans="1:10" ht="24">
      <c r="A14" s="211"/>
      <c r="B14" s="212"/>
      <c r="C14" s="212"/>
      <c r="D14" s="212"/>
      <c r="E14" s="3"/>
      <c r="F14" s="243" t="s">
        <v>343</v>
      </c>
      <c r="G14" s="8" t="s">
        <v>308</v>
      </c>
      <c r="H14" s="182"/>
      <c r="I14" s="183"/>
      <c r="J14" s="183"/>
    </row>
    <row r="15" spans="1:10">
      <c r="A15" s="53"/>
      <c r="B15" s="54"/>
      <c r="C15" s="54"/>
      <c r="D15" s="54"/>
      <c r="E15" s="3"/>
      <c r="F15" s="3"/>
      <c r="G15" s="3"/>
      <c r="H15" s="55"/>
      <c r="I15" s="4"/>
      <c r="J15" s="4"/>
    </row>
    <row r="16" spans="1:10">
      <c r="A16" s="53"/>
      <c r="B16" s="54"/>
      <c r="C16" s="54"/>
      <c r="D16" s="54"/>
      <c r="E16" s="3"/>
      <c r="F16" s="3"/>
      <c r="G16" s="3"/>
      <c r="H16" s="55"/>
      <c r="I16" s="4"/>
      <c r="J16" s="4"/>
    </row>
    <row r="17" spans="1:10" ht="13.95" customHeight="1">
      <c r="A17" s="16" t="s">
        <v>59</v>
      </c>
      <c r="B17" s="56" t="s">
        <v>296</v>
      </c>
      <c r="C17" s="56" t="s">
        <v>309</v>
      </c>
      <c r="D17" s="56" t="s">
        <v>297</v>
      </c>
      <c r="E17" s="17" t="s">
        <v>310</v>
      </c>
      <c r="F17" s="17" t="s">
        <v>311</v>
      </c>
      <c r="G17" s="17" t="s">
        <v>299</v>
      </c>
      <c r="H17" s="19" t="s">
        <v>312</v>
      </c>
      <c r="I17" s="4"/>
      <c r="J17" s="149" t="s">
        <v>306</v>
      </c>
    </row>
    <row r="18" spans="1:10" ht="13.95" customHeight="1">
      <c r="A18" s="26" t="s">
        <v>66</v>
      </c>
      <c r="B18" s="57">
        <v>46044</v>
      </c>
      <c r="C18" s="57">
        <v>46049</v>
      </c>
      <c r="D18" s="57">
        <v>46048</v>
      </c>
      <c r="E18" s="76">
        <f>YEAR(B18)</f>
        <v>2026</v>
      </c>
      <c r="F18" s="76" t="str">
        <f>TEXT(B18,"mmm")</f>
        <v>Jan</v>
      </c>
      <c r="G18" s="100">
        <f>NETWORKDAYS.INTL(B18,D18,7)</f>
        <v>3</v>
      </c>
      <c r="H18" s="77" t="str">
        <f>IF(D18&lt;=C18,"On Time","Late")</f>
        <v>On Time</v>
      </c>
      <c r="I18" s="4"/>
      <c r="J18" s="149"/>
    </row>
    <row r="19" spans="1:10" ht="13.95" customHeight="1">
      <c r="A19" s="30" t="s">
        <v>70</v>
      </c>
      <c r="B19" s="59">
        <v>46173</v>
      </c>
      <c r="C19" s="59">
        <v>46184</v>
      </c>
      <c r="D19" s="59">
        <v>46183</v>
      </c>
      <c r="E19" s="86">
        <f>YEAR(B19)</f>
        <v>2026</v>
      </c>
      <c r="F19" s="86" t="str">
        <f>TEXT(B19,"mmm")</f>
        <v>May</v>
      </c>
      <c r="G19" s="100">
        <f>NETWORKDAYS.INTL(B19,D19,7)</f>
        <v>9</v>
      </c>
      <c r="H19" s="87" t="str">
        <f>IF(D19&lt;=C19,"On Time","Late")</f>
        <v>On Time</v>
      </c>
      <c r="I19" s="4"/>
      <c r="J19" s="105">
        <f ca="1">TODAY()</f>
        <v>46273</v>
      </c>
    </row>
    <row r="20" spans="1:10" ht="13.95" customHeight="1">
      <c r="A20" s="30" t="s">
        <v>74</v>
      </c>
      <c r="B20" s="59">
        <v>46085</v>
      </c>
      <c r="C20" s="59">
        <v>46087</v>
      </c>
      <c r="D20" s="59">
        <v>46091</v>
      </c>
      <c r="E20" s="86">
        <f>YEAR(B20)</f>
        <v>2026</v>
      </c>
      <c r="F20" s="86" t="str">
        <f>TEXT(B20,"mmm")</f>
        <v>Mar</v>
      </c>
      <c r="G20" s="100">
        <f>NETWORKDAYS.INTL(B20,D20,7)</f>
        <v>5</v>
      </c>
      <c r="H20" s="87" t="str">
        <f>IF(D20&lt;=C20,"On Time","Late")</f>
        <v>Late</v>
      </c>
      <c r="I20" s="4"/>
      <c r="J20" s="4"/>
    </row>
    <row r="21" spans="1:10" ht="13.95" customHeight="1">
      <c r="A21" s="30" t="s">
        <v>78</v>
      </c>
      <c r="B21" s="59">
        <v>46193</v>
      </c>
      <c r="C21" s="59">
        <v>46205</v>
      </c>
      <c r="D21" s="59">
        <v>46205</v>
      </c>
      <c r="E21" s="88"/>
      <c r="F21" s="88"/>
      <c r="G21" s="101"/>
      <c r="H21" s="89"/>
      <c r="I21" s="4"/>
      <c r="J21" s="210" t="s">
        <v>313</v>
      </c>
    </row>
    <row r="22" spans="1:10" ht="13.95" customHeight="1">
      <c r="A22" s="30" t="s">
        <v>81</v>
      </c>
      <c r="B22" s="59">
        <v>46150</v>
      </c>
      <c r="C22" s="59">
        <v>46156</v>
      </c>
      <c r="D22" s="59">
        <v>46158</v>
      </c>
      <c r="E22" s="88"/>
      <c r="F22" s="88"/>
      <c r="G22" s="101"/>
      <c r="H22" s="89"/>
      <c r="I22" s="4"/>
      <c r="J22" s="210"/>
    </row>
    <row r="23" spans="1:10" ht="13.95" customHeight="1">
      <c r="A23" s="30" t="s">
        <v>84</v>
      </c>
      <c r="B23" s="59">
        <v>46220</v>
      </c>
      <c r="C23" s="59">
        <v>46221</v>
      </c>
      <c r="D23" s="59">
        <v>46224</v>
      </c>
      <c r="E23" s="88"/>
      <c r="F23" s="88"/>
      <c r="G23" s="101"/>
      <c r="H23" s="89"/>
      <c r="I23" s="4"/>
      <c r="J23" s="210"/>
    </row>
    <row r="24" spans="1:10" ht="13.95" customHeight="1">
      <c r="A24" s="30" t="s">
        <v>86</v>
      </c>
      <c r="B24" s="59">
        <v>46205</v>
      </c>
      <c r="C24" s="59">
        <v>46215</v>
      </c>
      <c r="D24" s="59">
        <v>46214</v>
      </c>
      <c r="E24" s="88"/>
      <c r="F24" s="88"/>
      <c r="G24" s="101"/>
      <c r="H24" s="89"/>
      <c r="I24" s="4"/>
      <c r="J24" s="210"/>
    </row>
    <row r="25" spans="1:10" ht="13.95" customHeight="1">
      <c r="A25" s="30" t="s">
        <v>89</v>
      </c>
      <c r="B25" s="59">
        <v>46150</v>
      </c>
      <c r="C25" s="59">
        <v>46160</v>
      </c>
      <c r="D25" s="59">
        <v>46160</v>
      </c>
      <c r="E25" s="88"/>
      <c r="F25" s="88"/>
      <c r="G25" s="101"/>
      <c r="H25" s="89"/>
      <c r="I25" s="4"/>
      <c r="J25" s="4"/>
    </row>
    <row r="26" spans="1:10" ht="13.95" customHeight="1">
      <c r="A26" s="30" t="s">
        <v>92</v>
      </c>
      <c r="B26" s="59">
        <v>46081</v>
      </c>
      <c r="C26" s="59">
        <v>46093</v>
      </c>
      <c r="D26" s="59">
        <v>46091</v>
      </c>
      <c r="E26" s="88"/>
      <c r="F26" s="88"/>
      <c r="G26" s="101"/>
      <c r="H26" s="89"/>
      <c r="I26" s="4"/>
      <c r="J26" s="4"/>
    </row>
    <row r="27" spans="1:10" ht="13.95" customHeight="1">
      <c r="A27" s="30" t="s">
        <v>95</v>
      </c>
      <c r="B27" s="59">
        <v>46116</v>
      </c>
      <c r="C27" s="59">
        <v>46123</v>
      </c>
      <c r="D27" s="59">
        <v>46123</v>
      </c>
      <c r="E27" s="88"/>
      <c r="F27" s="88"/>
      <c r="G27" s="101"/>
      <c r="H27" s="89"/>
      <c r="I27" s="4"/>
      <c r="J27" s="4"/>
    </row>
    <row r="28" spans="1:10" ht="13.95" customHeight="1">
      <c r="A28" s="30" t="s">
        <v>98</v>
      </c>
      <c r="B28" s="59">
        <v>46105</v>
      </c>
      <c r="C28" s="59">
        <v>46109</v>
      </c>
      <c r="D28" s="59">
        <v>46113</v>
      </c>
      <c r="E28" s="88"/>
      <c r="F28" s="88"/>
      <c r="G28" s="101"/>
      <c r="H28" s="89"/>
      <c r="I28" s="4"/>
      <c r="J28" s="4"/>
    </row>
    <row r="29" spans="1:10" ht="13.95" customHeight="1">
      <c r="A29" s="31" t="s">
        <v>101</v>
      </c>
      <c r="B29" s="61">
        <v>46151</v>
      </c>
      <c r="C29" s="61">
        <v>46162</v>
      </c>
      <c r="D29" s="61">
        <v>46160</v>
      </c>
      <c r="E29" s="90"/>
      <c r="F29" s="90"/>
      <c r="G29" s="102"/>
      <c r="H29" s="91"/>
      <c r="I29" s="4"/>
      <c r="J29" s="4"/>
    </row>
    <row r="30" spans="1:10" ht="13.95" customHeight="1">
      <c r="A30" s="34" t="s">
        <v>103</v>
      </c>
      <c r="B30" s="63">
        <v>46040</v>
      </c>
      <c r="C30" s="63">
        <v>46048</v>
      </c>
      <c r="D30" s="63">
        <v>46050</v>
      </c>
      <c r="E30" s="78"/>
      <c r="F30" s="78"/>
      <c r="G30" s="103"/>
      <c r="H30" s="79"/>
      <c r="I30" s="4"/>
      <c r="J30" s="4"/>
    </row>
    <row r="31" spans="1:10" ht="13.95" customHeight="1">
      <c r="A31" s="34" t="s">
        <v>106</v>
      </c>
      <c r="B31" s="63">
        <v>46117</v>
      </c>
      <c r="C31" s="63">
        <v>46121</v>
      </c>
      <c r="D31" s="63">
        <v>46123</v>
      </c>
      <c r="E31" s="78"/>
      <c r="F31" s="78"/>
      <c r="G31" s="103"/>
      <c r="H31" s="79"/>
      <c r="I31" s="4"/>
      <c r="J31" s="4"/>
    </row>
    <row r="32" spans="1:10" ht="13.95" customHeight="1">
      <c r="A32" s="34" t="s">
        <v>109</v>
      </c>
      <c r="B32" s="63">
        <v>46117</v>
      </c>
      <c r="C32" s="63">
        <v>46127</v>
      </c>
      <c r="D32" s="63">
        <v>46132</v>
      </c>
      <c r="E32" s="78"/>
      <c r="F32" s="78"/>
      <c r="G32" s="103"/>
      <c r="H32" s="79"/>
      <c r="I32" s="4"/>
      <c r="J32" s="4"/>
    </row>
    <row r="33" spans="1:10" ht="13.95" customHeight="1">
      <c r="A33" s="34" t="s">
        <v>112</v>
      </c>
      <c r="B33" s="63">
        <v>46024</v>
      </c>
      <c r="C33" s="63">
        <v>46031</v>
      </c>
      <c r="D33" s="63">
        <v>46029</v>
      </c>
      <c r="E33" s="78"/>
      <c r="F33" s="78"/>
      <c r="G33" s="103"/>
      <c r="H33" s="79"/>
      <c r="I33" s="4"/>
      <c r="J33" s="4"/>
    </row>
    <row r="34" spans="1:10" ht="13.95" customHeight="1">
      <c r="A34" s="34" t="s">
        <v>115</v>
      </c>
      <c r="B34" s="63">
        <v>46023</v>
      </c>
      <c r="C34" s="63">
        <v>46034</v>
      </c>
      <c r="D34" s="63">
        <v>46038</v>
      </c>
      <c r="E34" s="78"/>
      <c r="F34" s="78"/>
      <c r="G34" s="103"/>
      <c r="H34" s="79"/>
      <c r="I34" s="4"/>
      <c r="J34" s="4"/>
    </row>
    <row r="35" spans="1:10" ht="13.95" customHeight="1">
      <c r="A35" s="34" t="s">
        <v>118</v>
      </c>
      <c r="B35" s="63">
        <v>46148</v>
      </c>
      <c r="C35" s="63">
        <v>46149</v>
      </c>
      <c r="D35" s="63">
        <v>46149</v>
      </c>
      <c r="E35" s="78"/>
      <c r="F35" s="78"/>
      <c r="G35" s="103"/>
      <c r="H35" s="79"/>
      <c r="I35" s="4"/>
      <c r="J35" s="4"/>
    </row>
    <row r="36" spans="1:10" ht="13.95" customHeight="1">
      <c r="A36" s="34" t="s">
        <v>120</v>
      </c>
      <c r="B36" s="63">
        <v>46202</v>
      </c>
      <c r="C36" s="63">
        <v>46208</v>
      </c>
      <c r="D36" s="63">
        <v>46213</v>
      </c>
      <c r="E36" s="78"/>
      <c r="F36" s="78"/>
      <c r="G36" s="103"/>
      <c r="H36" s="79"/>
      <c r="I36" s="4"/>
      <c r="J36" s="4"/>
    </row>
    <row r="37" spans="1:10" ht="13.95" customHeight="1">
      <c r="A37" s="36" t="s">
        <v>123</v>
      </c>
      <c r="B37" s="64">
        <v>46042</v>
      </c>
      <c r="C37" s="64">
        <v>46052</v>
      </c>
      <c r="D37" s="64">
        <v>46050</v>
      </c>
      <c r="E37" s="80"/>
      <c r="F37" s="80"/>
      <c r="G37" s="104"/>
      <c r="H37" s="81"/>
      <c r="I37" s="4"/>
      <c r="J37" s="4"/>
    </row>
    <row r="38" spans="1:10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spans="1:10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spans="1:10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spans="1:10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spans="1:10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spans="1:10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spans="1:10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spans="1:10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spans="1:10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spans="1:10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spans="1:10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spans="1:10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spans="1:10">
      <c r="A50" s="4"/>
      <c r="B50" s="4"/>
      <c r="C50" s="4"/>
      <c r="D50" s="4"/>
      <c r="E50" s="4"/>
      <c r="F50" s="4"/>
      <c r="G50" s="4"/>
      <c r="H50" s="4"/>
      <c r="I50" s="4"/>
      <c r="J50" s="4"/>
    </row>
  </sheetData>
  <mergeCells count="9">
    <mergeCell ref="J17:J18"/>
    <mergeCell ref="J21:J24"/>
    <mergeCell ref="A1:J2"/>
    <mergeCell ref="A3:J3"/>
    <mergeCell ref="A5:J6"/>
    <mergeCell ref="A7:J8"/>
    <mergeCell ref="A13:D14"/>
    <mergeCell ref="F10:J10"/>
    <mergeCell ref="H11:J14"/>
  </mergeCells>
  <conditionalFormatting sqref="H18:H37">
    <cfRule type="expression" dxfId="1" priority="1">
      <formula>H18="Late"</formula>
    </cfRule>
    <cfRule type="expression" dxfId="0" priority="2">
      <formula>H18="On Time"</formula>
    </cfRule>
  </conditionalFormatting>
  <dataValidations disablePrompts="1" count="8">
    <dataValidation allowBlank="1" showInputMessage="1" promptTitle="Order ID | رقم الطلب" prompt="Service order identifier._x000a_رقم طلب الخدمة." sqref="A17" xr:uid="{00000000-0002-0000-0500-000000000000}"/>
    <dataValidation allowBlank="1" showInputMessage="1" promptTitle="Start | البداية" prompt="Order start date._x000a_تاريخ بدء الطلب." sqref="B17" xr:uid="{00000000-0002-0000-0500-000001000000}"/>
    <dataValidation allowBlank="1" showInputMessage="1" promptTitle="Due | الاستحقاق" prompt="Committed due date._x000a_تاريخ الاستحقاق." sqref="C17" xr:uid="{00000000-0002-0000-0500-000002000000}"/>
    <dataValidation allowBlank="1" showInputMessage="1" promptTitle="Close | الإغلاق" prompt="Actual close date._x000a_تاريخ الإغلاق الفعلي." sqref="D17" xr:uid="{00000000-0002-0000-0500-000003000000}"/>
    <dataValidation allowBlank="1" showInputMessage="1" promptTitle="Year | السنة" prompt="Reporting year from Start Date._x000a_سنة التقرير من تاريخ البداية." sqref="E17" xr:uid="{00000000-0002-0000-0500-000004000000}"/>
    <dataValidation allowBlank="1" showInputMessage="1" promptTitle="Month | الشهر" prompt="Month label from Start Date._x000a_اسم الشهر من تاريخ البداية." sqref="F17" xr:uid="{00000000-0002-0000-0500-000005000000}"/>
    <dataValidation allowBlank="1" showInputMessage="1" promptTitle="Business Days | أيام العمل" prompt="Working days from Start to Close._x000a_أيام العمل من البداية حتى الإغلاق." sqref="G17" xr:uid="{00000000-0002-0000-0500-000006000000}"/>
    <dataValidation allowBlank="1" showInputMessage="1" promptTitle="SLA Status | حالة SLA" prompt="Compare actual Close Date to Due Date._x000a_قارن تاريخ الإغلاق الفعلي بتاريخ الاستحقاق." sqref="H17" xr:uid="{00000000-0002-0000-0500-000007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4"/>
  <sheetViews>
    <sheetView tabSelected="1" workbookViewId="0">
      <selection activeCell="B23" sqref="B23"/>
    </sheetView>
  </sheetViews>
  <sheetFormatPr defaultRowHeight="13.8"/>
  <cols>
    <col min="1" max="1" width="6" customWidth="1"/>
    <col min="2" max="2" width="48" customWidth="1"/>
    <col min="3" max="3" width="25" customWidth="1"/>
    <col min="4" max="4" width="18" customWidth="1"/>
    <col min="5" max="5" width="4" customWidth="1"/>
    <col min="6" max="8" width="22" customWidth="1"/>
  </cols>
  <sheetData>
    <row r="1" spans="1:8">
      <c r="A1" s="153" t="s">
        <v>314</v>
      </c>
      <c r="B1" s="153"/>
      <c r="C1" s="153"/>
      <c r="D1" s="153"/>
      <c r="E1" s="153"/>
      <c r="F1" s="153"/>
      <c r="G1" s="153"/>
      <c r="H1" s="153"/>
    </row>
    <row r="2" spans="1:8">
      <c r="A2" s="153"/>
      <c r="B2" s="153"/>
      <c r="C2" s="153"/>
      <c r="D2" s="153"/>
      <c r="E2" s="153"/>
      <c r="F2" s="153"/>
      <c r="G2" s="153"/>
      <c r="H2" s="153"/>
    </row>
    <row r="3" spans="1:8">
      <c r="A3" s="146" t="s">
        <v>315</v>
      </c>
      <c r="B3" s="147"/>
      <c r="C3" s="147"/>
      <c r="D3" s="147"/>
      <c r="E3" s="147"/>
      <c r="F3" s="147"/>
      <c r="G3" s="147"/>
      <c r="H3" s="147"/>
    </row>
    <row r="4" spans="1:8" ht="3.9" customHeight="1">
      <c r="A4" s="4"/>
      <c r="B4" s="4"/>
      <c r="C4" s="4"/>
      <c r="D4" s="4"/>
      <c r="E4" s="4"/>
      <c r="F4" s="4"/>
      <c r="G4" s="4"/>
      <c r="H4" s="4"/>
    </row>
    <row r="5" spans="1:8">
      <c r="A5" s="154" t="s">
        <v>316</v>
      </c>
      <c r="B5" s="155"/>
      <c r="C5" s="155"/>
      <c r="D5" s="155"/>
      <c r="E5" s="155"/>
      <c r="F5" s="155"/>
      <c r="G5" s="155"/>
      <c r="H5" s="155"/>
    </row>
    <row r="6" spans="1:8">
      <c r="A6" s="154"/>
      <c r="B6" s="155"/>
      <c r="C6" s="155"/>
      <c r="D6" s="155"/>
      <c r="E6" s="155"/>
      <c r="F6" s="155"/>
      <c r="G6" s="155"/>
      <c r="H6" s="155"/>
    </row>
    <row r="7" spans="1:8" ht="15.3" customHeight="1">
      <c r="A7" s="244" t="s">
        <v>344</v>
      </c>
      <c r="B7" s="202"/>
      <c r="C7" s="202"/>
      <c r="D7" s="202"/>
      <c r="E7" s="202"/>
      <c r="F7" s="202"/>
      <c r="G7" s="202"/>
      <c r="H7" s="203"/>
    </row>
    <row r="8" spans="1:8" ht="15.3" customHeight="1">
      <c r="A8" s="202"/>
      <c r="B8" s="202"/>
      <c r="C8" s="202"/>
      <c r="D8" s="202"/>
      <c r="E8" s="202"/>
      <c r="F8" s="202"/>
      <c r="G8" s="202"/>
      <c r="H8" s="203"/>
    </row>
    <row r="9" spans="1:8">
      <c r="A9" s="9"/>
      <c r="B9" s="10"/>
      <c r="C9" s="10"/>
      <c r="D9" s="11"/>
      <c r="E9" s="4"/>
      <c r="F9" s="4"/>
      <c r="G9" s="4"/>
      <c r="H9" s="4"/>
    </row>
    <row r="10" spans="1:8">
      <c r="A10" s="218" t="s">
        <v>317</v>
      </c>
      <c r="B10" s="219"/>
      <c r="C10" s="219"/>
      <c r="D10" s="220"/>
      <c r="E10" s="216"/>
      <c r="F10" s="216"/>
      <c r="G10" s="216"/>
      <c r="H10" s="216"/>
    </row>
    <row r="11" spans="1:8">
      <c r="A11" s="221"/>
      <c r="B11" s="216"/>
      <c r="C11" s="216"/>
      <c r="D11" s="222"/>
      <c r="E11" s="216"/>
      <c r="F11" s="216"/>
      <c r="G11" s="216"/>
      <c r="H11" s="216"/>
    </row>
    <row r="12" spans="1:8">
      <c r="A12" s="53"/>
      <c r="B12" s="3"/>
      <c r="C12" s="3"/>
      <c r="D12" s="55"/>
      <c r="E12" s="4"/>
      <c r="F12" s="4"/>
      <c r="G12" s="4"/>
      <c r="H12" s="4"/>
    </row>
    <row r="13" spans="1:8">
      <c r="A13" s="53"/>
      <c r="B13" s="3"/>
      <c r="C13" s="3"/>
      <c r="D13" s="55"/>
      <c r="E13" s="4"/>
      <c r="F13" s="4"/>
      <c r="G13" s="4"/>
      <c r="H13" s="4"/>
    </row>
    <row r="14" spans="1:8" ht="20.55" customHeight="1">
      <c r="A14" s="16" t="s">
        <v>25</v>
      </c>
      <c r="B14" s="17" t="s">
        <v>318</v>
      </c>
      <c r="C14" s="17" t="s">
        <v>319</v>
      </c>
      <c r="D14" s="19" t="s">
        <v>320</v>
      </c>
      <c r="E14" s="4"/>
      <c r="F14" s="216" t="s">
        <v>330</v>
      </c>
      <c r="G14" s="216"/>
      <c r="H14" s="216"/>
    </row>
    <row r="15" spans="1:8" ht="20.55" customHeight="1">
      <c r="A15" s="48">
        <v>1</v>
      </c>
      <c r="B15" s="27" t="s">
        <v>321</v>
      </c>
      <c r="C15" s="39" t="s">
        <v>322</v>
      </c>
      <c r="D15" s="106" t="s">
        <v>323</v>
      </c>
      <c r="E15" s="4"/>
      <c r="F15" s="216"/>
      <c r="G15" s="216"/>
      <c r="H15" s="216"/>
    </row>
    <row r="16" spans="1:8" ht="20.55" customHeight="1">
      <c r="A16" s="49">
        <v>2</v>
      </c>
      <c r="B16" s="20" t="s">
        <v>324</v>
      </c>
      <c r="C16" s="40" t="s">
        <v>325</v>
      </c>
      <c r="D16" s="89" t="s">
        <v>323</v>
      </c>
      <c r="E16" s="4"/>
      <c r="F16" s="216"/>
      <c r="G16" s="216"/>
      <c r="H16" s="216"/>
    </row>
    <row r="17" spans="1:8" ht="20.55" customHeight="1">
      <c r="A17" s="50">
        <v>3</v>
      </c>
      <c r="B17" s="23" t="s">
        <v>326</v>
      </c>
      <c r="C17" s="41" t="s">
        <v>327</v>
      </c>
      <c r="D17" s="91" t="s">
        <v>323</v>
      </c>
      <c r="E17" s="4"/>
      <c r="F17" s="4"/>
      <c r="G17" s="4"/>
      <c r="H17" s="4"/>
    </row>
    <row r="18" spans="1:8" ht="20.55" customHeight="1">
      <c r="A18" s="49">
        <v>4</v>
      </c>
      <c r="B18" s="35" t="s">
        <v>328</v>
      </c>
      <c r="C18" s="42" t="s">
        <v>329</v>
      </c>
      <c r="D18" s="79" t="s">
        <v>323</v>
      </c>
      <c r="E18" s="4"/>
      <c r="F18" s="245"/>
      <c r="G18" s="245"/>
      <c r="H18" s="245"/>
    </row>
    <row r="19" spans="1:8" ht="20.55" customHeight="1">
      <c r="A19" s="49">
        <v>5</v>
      </c>
      <c r="B19" s="35" t="s">
        <v>331</v>
      </c>
      <c r="C19" s="42" t="s">
        <v>332</v>
      </c>
      <c r="D19" s="79" t="s">
        <v>323</v>
      </c>
      <c r="E19" s="4"/>
      <c r="F19" s="245"/>
      <c r="G19" s="245"/>
      <c r="H19" s="245"/>
    </row>
    <row r="20" spans="1:8" ht="20.55" customHeight="1">
      <c r="A20" s="49">
        <v>6</v>
      </c>
      <c r="B20" s="35" t="s">
        <v>333</v>
      </c>
      <c r="C20" s="42" t="s">
        <v>334</v>
      </c>
      <c r="D20" s="79" t="s">
        <v>323</v>
      </c>
      <c r="E20" s="4"/>
      <c r="F20" s="245"/>
      <c r="G20" s="245"/>
      <c r="H20" s="245"/>
    </row>
    <row r="21" spans="1:8" ht="20.55" customHeight="1">
      <c r="A21" s="49">
        <v>7</v>
      </c>
      <c r="B21" s="35" t="s">
        <v>335</v>
      </c>
      <c r="C21" s="42" t="s">
        <v>336</v>
      </c>
      <c r="D21" s="79" t="s">
        <v>323</v>
      </c>
      <c r="E21" s="4"/>
      <c r="F21" s="4"/>
      <c r="G21" s="4"/>
      <c r="H21" s="4"/>
    </row>
    <row r="22" spans="1:8" ht="20.55" customHeight="1">
      <c r="A22" s="49">
        <v>8</v>
      </c>
      <c r="B22" s="35" t="s">
        <v>337</v>
      </c>
      <c r="C22" s="42" t="s">
        <v>312</v>
      </c>
      <c r="D22" s="79" t="s">
        <v>323</v>
      </c>
      <c r="E22" s="4"/>
      <c r="F22" s="217" t="s">
        <v>338</v>
      </c>
      <c r="G22" s="217"/>
      <c r="H22" s="217"/>
    </row>
    <row r="23" spans="1:8" ht="20.55" customHeight="1">
      <c r="A23" s="51">
        <v>9</v>
      </c>
      <c r="B23" s="37" t="s">
        <v>339</v>
      </c>
      <c r="C23" s="43" t="s">
        <v>340</v>
      </c>
      <c r="D23" s="81" t="s">
        <v>323</v>
      </c>
      <c r="E23" s="4"/>
      <c r="F23" s="217"/>
      <c r="G23" s="217"/>
      <c r="H23" s="217"/>
    </row>
    <row r="24" spans="1:8">
      <c r="A24" s="4"/>
      <c r="B24" s="4"/>
      <c r="C24" s="4"/>
      <c r="D24" s="4"/>
      <c r="E24" s="4"/>
      <c r="F24" s="217"/>
      <c r="G24" s="217"/>
      <c r="H24" s="217"/>
    </row>
    <row r="25" spans="1:8">
      <c r="A25" s="4"/>
      <c r="B25" s="4"/>
      <c r="C25" s="4"/>
      <c r="D25" s="4"/>
      <c r="E25" s="4"/>
      <c r="F25" s="4"/>
      <c r="G25" s="4"/>
      <c r="H25" s="4"/>
    </row>
    <row r="26" spans="1:8">
      <c r="A26" s="4"/>
      <c r="B26" s="4"/>
      <c r="C26" s="4"/>
      <c r="D26" s="4"/>
      <c r="E26" s="4"/>
      <c r="F26" s="4"/>
      <c r="G26" s="4"/>
      <c r="H26" s="4"/>
    </row>
    <row r="27" spans="1:8">
      <c r="A27" s="4"/>
      <c r="B27" s="4"/>
      <c r="C27" s="4"/>
      <c r="D27" s="4"/>
      <c r="E27" s="4"/>
      <c r="F27" s="4"/>
      <c r="G27" s="4"/>
      <c r="H27" s="4"/>
    </row>
    <row r="28" spans="1:8">
      <c r="A28" s="4"/>
      <c r="B28" s="4"/>
      <c r="C28" s="4"/>
      <c r="D28" s="4"/>
      <c r="E28" s="4"/>
      <c r="F28" s="4"/>
      <c r="G28" s="4"/>
      <c r="H28" s="4"/>
    </row>
    <row r="29" spans="1:8">
      <c r="A29" s="4"/>
      <c r="B29" s="4"/>
      <c r="C29" s="4"/>
      <c r="D29" s="4"/>
      <c r="E29" s="4"/>
      <c r="F29" s="4"/>
      <c r="G29" s="4"/>
      <c r="H29" s="4"/>
    </row>
    <row r="30" spans="1:8">
      <c r="A30" s="4"/>
      <c r="B30" s="4"/>
      <c r="C30" s="4"/>
      <c r="D30" s="4"/>
      <c r="E30" s="4"/>
      <c r="F30" s="4"/>
      <c r="G30" s="4"/>
      <c r="H30" s="4"/>
    </row>
    <row r="31" spans="1:8">
      <c r="A31" s="4"/>
      <c r="B31" s="4"/>
      <c r="C31" s="4"/>
      <c r="D31" s="4"/>
      <c r="E31" s="4"/>
      <c r="F31" s="4"/>
      <c r="G31" s="4"/>
      <c r="H31" s="4"/>
    </row>
    <row r="32" spans="1:8">
      <c r="A32" s="4"/>
      <c r="B32" s="4"/>
      <c r="C32" s="4"/>
      <c r="D32" s="4"/>
      <c r="E32" s="4"/>
      <c r="F32" s="4"/>
      <c r="G32" s="4"/>
      <c r="H32" s="4"/>
    </row>
    <row r="33" spans="1:8">
      <c r="A33" s="4"/>
      <c r="B33" s="4"/>
      <c r="C33" s="4"/>
      <c r="D33" s="4"/>
      <c r="E33" s="4"/>
      <c r="F33" s="4"/>
      <c r="G33" s="4"/>
      <c r="H33" s="4"/>
    </row>
    <row r="34" spans="1:8">
      <c r="A34" s="4"/>
      <c r="B34" s="4"/>
      <c r="C34" s="4"/>
      <c r="D34" s="4"/>
      <c r="E34" s="4"/>
      <c r="F34" s="4"/>
      <c r="G34" s="4"/>
      <c r="H34" s="4"/>
    </row>
  </sheetData>
  <mergeCells count="8">
    <mergeCell ref="F14:H16"/>
    <mergeCell ref="F18:H20"/>
    <mergeCell ref="F22:H24"/>
    <mergeCell ref="A1:H2"/>
    <mergeCell ref="A3:H3"/>
    <mergeCell ref="A5:H6"/>
    <mergeCell ref="A7:H8"/>
    <mergeCell ref="A10:H11"/>
  </mergeCells>
  <dataValidations count="1">
    <dataValidation type="list" sqref="D15:D23" xr:uid="{00000000-0002-0000-0600-000000000000}">
      <formula1>"Not Started,In Progress,Done"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00_COVER</vt:lpstr>
      <vt:lpstr>01_ROADMAP</vt:lpstr>
      <vt:lpstr>02_RAW_DATA</vt:lpstr>
      <vt:lpstr>03_TEXT_LAB</vt:lpstr>
      <vt:lpstr>04_QUALITY_CHECKS</vt:lpstr>
      <vt:lpstr>05_DATE_LAB</vt:lpstr>
      <vt:lpstr>06_COMBINED_CASE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 Academy</cp:lastModifiedBy>
  <dcterms:modified xsi:type="dcterms:W3CDTF">2026-09-07T22:58:10Z</dcterms:modified>
</cp:coreProperties>
</file>