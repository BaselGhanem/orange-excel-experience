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6a1573f4cc40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26c374b089fa44ff"/>
    <x:sheet xmlns:r="http://schemas.openxmlformats.org/officeDocument/2006/relationships" name="01_ROADMAP" sheetId="2" r:id="R1a6ab87bc5864e32"/>
    <x:sheet xmlns:r="http://schemas.openxmlformats.org/officeDocument/2006/relationships" name="02_RAW_DATA" sheetId="3" r:id="Rc04c1410405d4891"/>
    <x:sheet xmlns:r="http://schemas.openxmlformats.org/officeDocument/2006/relationships" name="03_TEXT_LAB" sheetId="4" r:id="Rd4efb3bfc57e4f76"/>
    <x:sheet xmlns:r="http://schemas.openxmlformats.org/officeDocument/2006/relationships" name="04_QUALITY_CHECKS" sheetId="5" r:id="R53e8a8fd197c4f4c"/>
    <x:sheet xmlns:r="http://schemas.openxmlformats.org/officeDocument/2006/relationships" name="05_DATE_LAB" sheetId="6" r:id="Rad5c2defb23a4080"/>
    <x:sheet xmlns:r="http://schemas.openxmlformats.org/officeDocument/2006/relationships" name="06_COMBINED_CASE" sheetId="7" r:id="R44701ae6ef524f8c"/>
    <x:sheet xmlns:r="http://schemas.openxmlformats.org/officeDocument/2006/relationships" name="07_ANSWER_KEY" sheetId="8" r:id="R3cb76ae124e6481b"/>
    <x:sheet xmlns:r="http://schemas.openxmlformats.org/officeDocument/2006/relationships" name="08_TRAINER_FLOW" sheetId="9" r:id="R501b0d40a6a84078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-mmm-yyyy"/>
    <x:numFmt numFmtId="201" formatCode="0"/>
  </x:numFmts>
  <x:fonts count="32">
    <x:font>
      <x:sz val="11"/>
      <x:name val="Carlito"/>
    </x:font>
    <x:font>
      <x:b/>
      <x:sz val="12"/>
      <x:color rgb="FFFFFFFF"/>
      <x:name val="Carlito"/>
    </x:font>
    <x:font>
      <x:b/>
      <x:sz val="26"/>
      <x:color rgb="FFFFFFFF"/>
      <x:name val="Carlito"/>
    </x:font>
    <x:font>
      <x:b/>
      <x:sz val="12"/>
      <x:color rgb="FF374550"/>
      <x:name val="Carlito"/>
    </x:font>
    <x:font>
      <x:b/>
      <x:sz val="10"/>
      <x:color rgb="FF6B7A88"/>
      <x:name val="Carlito"/>
    </x:font>
    <x:font>
      <x:b/>
      <x:sz val="10"/>
      <x:color rgb="FFFFFFFF"/>
      <x:name val="Carlito"/>
    </x:font>
    <x:font>
      <x:sz val="10"/>
      <x:color rgb="FF374550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74550"/>
      <x:name val="Carlito"/>
    </x:font>
    <x:font>
      <x:sz val="9"/>
      <x:color rgb="FF374550"/>
      <x:name val="Carlito"/>
    </x:font>
    <x:font>
      <x:sz val="10"/>
      <x:color rgb="FF25313B"/>
      <x:name val="Aptos"/>
    </x:font>
    <x:font>
      <x:b/>
      <x:sz val="10"/>
      <x:color rgb="FF25313B"/>
      <x:name val="Aptos"/>
    </x:font>
    <x:font>
      <x:b/>
      <x:sz val="22"/>
      <x:color rgb="FFFFFFFF"/>
      <x:name val="Aptos"/>
    </x:font>
    <x:font>
      <x:b/>
      <x:sz val="11"/>
      <x:color rgb="FFFF7900"/>
      <x:name val="Arial"/>
    </x:font>
    <x:font>
      <x:b/>
      <x:sz val="12"/>
      <x:color rgb="FF25313B"/>
      <x:name val="Aptos"/>
    </x:font>
    <x:font>
      <x:b/>
      <x:sz val="10"/>
      <x:color rgb="FFFFFFFF"/>
      <x:name val="Aptos"/>
    </x:font>
    <x:font>
      <x:sz val="9"/>
      <x:color rgb="FF25313B"/>
      <x:name val="Aptos"/>
    </x:font>
    <x:font>
      <x:b/>
      <x:sz val="15"/>
      <x:color rgb="FFFFFFFF"/>
      <x:name val="Aptos"/>
    </x:font>
    <x:font>
      <x:b/>
      <x:sz val="9"/>
      <x:color rgb="FF25313B"/>
      <x:name val="Aptos"/>
    </x:font>
    <x:font>
      <x:b/>
      <x:sz val="9"/>
      <x:color rgb="FF6B7782"/>
      <x:name val="Aptos"/>
    </x:font>
    <x:font>
      <x:b/>
      <x:sz val="18"/>
      <x:color rgb="FFFFFFFF"/>
      <x:name val="Aptos"/>
    </x:font>
    <x:font>
      <x:b/>
      <x:sz val="10"/>
      <x:color rgb="FF147EEA"/>
      <x:name val="Aptos"/>
    </x:font>
    <x:font>
      <x:b/>
      <x:sz val="10"/>
      <x:color rgb="FFFF7900"/>
      <x:name val="Arial"/>
    </x:font>
    <x:font>
      <x:b/>
      <x:sz val="9"/>
      <x:color rgb="FFFFFFFF"/>
      <x:name val="Aptos"/>
    </x:font>
    <x:font>
      <x:b/>
      <x:sz val="9"/>
      <x:color rgb="FF147EEA"/>
      <x:name val="Aptos"/>
    </x:font>
    <x:font>
      <x:b/>
      <x:sz val="17"/>
      <x:color rgb="FFFFFFFF"/>
      <x:name val="Aptos"/>
    </x:font>
    <x:font>
      <x:b/>
      <x:sz val="10"/>
      <x:color rgb="FF147EEA"/>
      <x:name val="Consolas"/>
    </x:font>
    <x:font>
      <x:b/>
      <x:sz val="9"/>
      <x:color rgb="FF147EEA"/>
      <x:name val="Consolas"/>
    </x:font>
    <x:font>
      <x:sz val="9"/>
      <x:color rgb="FF25313B"/>
      <x:name val="Consolas"/>
    </x:font>
    <x:font>
      <x:b/>
      <x:sz val="9"/>
      <x:color rgb="FF25313B"/>
      <x:name val="Arial"/>
    </x:font>
    <x:font>
      <x:b/>
      <x:sz val="9"/>
      <x:color rgb="FFFF7900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F5F7FA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EAF4FF"/>
      </x:patternFill>
    </x:fill>
    <x:fill>
      <x:patternFill patternType="solid">
        <x:fgColor rgb="FFFFFFFF"/>
      </x:patternFill>
    </x:fill>
    <x:fill>
      <x:patternFill patternType="solid">
        <x:fgColor rgb="FF25313B"/>
      </x:patternFill>
    </x:fill>
    <x:fill>
      <x:patternFill patternType="solid">
        <x:fgColor rgb="FFE8F7F4"/>
      </x:patternFill>
    </x:fill>
    <x:fill>
      <x:patternFill patternType="solid">
        <x:fgColor rgb="FFFFF6E3"/>
      </x:patternFill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FAFBFC"/>
      </x:patternFill>
    </x:fill>
    <x:fill>
      <x:patternFill patternType="solid">
        <x:fgColor rgb="FFFF7900"/>
      </x:patternFill>
    </x:fill>
    <x:fill>
      <x:patternFill patternType="solid">
        <x:fgColor rgb="FF50BE87"/>
      </x:patternFill>
    </x:fill>
    <x:fill>
      <x:patternFill patternType="solid">
        <x:fgColor rgb="FFEAF8F1"/>
      </x:patternFill>
    </x:fill>
    <x:fill>
      <x:patternFill patternType="solid">
        <x:fgColor rgb="FFFFF7CC"/>
      </x:patternFill>
    </x:fill>
    <x:fill>
      <x:patternFill patternType="solid">
        <x:fgColor rgb="FFEEF6FE"/>
      </x:patternFill>
    </x:fill>
    <x:fill>
      <x:patternFill patternType="solid">
        <x:fgColor rgb="FFFFF3E8"/>
      </x:patternFill>
    </x:fill>
    <x:fill>
      <x:patternFill patternType="solid">
        <x:fgColor rgb="FFEAF8F1"/>
      </x:patternFill>
    </x:fill>
    <x:fill>
      <x:patternFill patternType="solid">
        <x:fgColor rgb="FFFAFBFC"/>
      </x:patternFill>
    </x:fill>
  </x:fills>
  <x:borders count="83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3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0"/>
    </x:xf>
    <x:xf numFmtId="0" fontId="1" fillId="3" borderId="0" xfId="0" applyNumberFormat="1" applyFont="1" applyFill="1" applyBorder="1" applyAlignment="1">
      <x:alignment horizontal="center" wrapText="0"/>
    </x:xf>
    <x:xf numFmtId="0" fontId="1" fillId="3" borderId="0" xfId="0" applyNumberFormat="1" applyFont="1" applyFill="1" applyBorder="1" applyAlignment="1">
      <x:alignment horizontal="center" vertical="center" wrapText="0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0"/>
    </x:xf>
    <x:xf numFmtId="0" fontId="1" fillId="3" borderId="1" xfId="0" applyNumberFormat="1" applyFont="1" applyFill="1" applyBorder="1" applyAlignment="1">
      <x:alignment horizontal="center" wrapText="0"/>
    </x:xf>
    <x:xf numFmtId="0" fontId="1" fillId="3" borderId="1" xfId="0" applyNumberFormat="1" applyFont="1" applyFill="1" applyBorder="1" applyAlignment="1">
      <x:alignment horizontal="center" vertical="center" wrapText="0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0"/>
    </x:xf>
    <x:xf numFmtId="0" fontId="4" fillId="6" borderId="0" xfId="0" applyNumberFormat="1" applyFont="1" applyFill="1" applyBorder="1" applyAlignment="1">
      <x:alignment horizontal="center" wrapText="0"/>
    </x:xf>
    <x:xf numFmtId="0" fontId="4" fillId="6" borderId="0" xfId="0" applyNumberFormat="1" applyFont="1" applyFill="1" applyBorder="1" applyAlignment="1">
      <x:alignment horizontal="center" vertical="center" wrapText="0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0"/>
    </x:xf>
    <x:xf numFmtId="0" fontId="4" fillId="6" borderId="1" xfId="0" applyNumberFormat="1" applyFont="1" applyFill="1" applyBorder="1" applyAlignment="1">
      <x:alignment horizontal="center" wrapText="0"/>
    </x:xf>
    <x:xf numFmtId="0" fontId="4" fillId="6" borderId="1" xfId="0" applyNumberFormat="1" applyFont="1" applyFill="1" applyBorder="1" applyAlignment="1">
      <x:alignment horizontal="center" vertical="center" wrapText="0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0"/>
    </x:xf>
    <x:xf numFmtId="0" fontId="5" fillId="3" borderId="0" xfId="0" applyNumberFormat="1" applyFont="1" applyFill="1" applyBorder="1" applyAlignment="1">
      <x:alignment horizontal="center" wrapText="0"/>
    </x:xf>
    <x:xf numFmtId="0" fontId="5" fillId="3" borderId="0" xfId="0" applyNumberFormat="1" applyFont="1" applyFill="1" applyBorder="1" applyAlignment="1">
      <x:alignment horizontal="center" vertical="center" wrapText="0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0"/>
    </x:xf>
    <x:xf numFmtId="0" fontId="5" fillId="3" borderId="1" xfId="0" applyNumberFormat="1" applyFont="1" applyFill="1" applyBorder="1" applyAlignment="1">
      <x:alignment horizontal="center" wrapText="0"/>
    </x:xf>
    <x:xf numFmtId="0" fontId="5" fillId="3" borderId="1" xfId="0" applyNumberFormat="1" applyFont="1" applyFill="1" applyBorder="1" applyAlignment="1">
      <x:alignment horizontal="center" vertical="center" wrapText="0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0"/>
    </x:xf>
    <x:xf numFmtId="0" fontId="6" fillId="6" borderId="0" xfId="0" applyNumberFormat="1" applyFont="1" applyFill="1" applyBorder="1" applyAlignment="1">
      <x:alignment horizontal="left" wrapText="0"/>
    </x:xf>
    <x:xf numFmtId="0" fontId="6" fillId="6" borderId="0" xfId="0" applyNumberFormat="1" applyFont="1" applyFill="1" applyBorder="1" applyAlignment="1">
      <x:alignment horizontal="left" vertical="center" wrapText="0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0"/>
    </x:xf>
    <x:xf numFmtId="0" fontId="6" fillId="6" borderId="1" xfId="0" applyNumberFormat="1" applyFont="1" applyFill="1" applyBorder="1" applyAlignment="1">
      <x:alignment horizontal="left" wrapText="0"/>
    </x:xf>
    <x:xf numFmtId="0" fontId="6" fillId="6" borderId="1" xfId="0" applyNumberFormat="1" applyFont="1" applyFill="1" applyBorder="1" applyAlignment="1">
      <x:alignment horizontal="left" vertical="center" wrapText="0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0"/>
    </x:xf>
    <x:xf numFmtId="0" fontId="7" fillId="7" borderId="0" xfId="0" applyNumberFormat="1" applyFont="1" applyFill="1" applyBorder="1" applyAlignment="1">
      <x:alignment horizontal="center" wrapText="0"/>
    </x:xf>
    <x:xf numFmtId="0" fontId="7" fillId="7" borderId="0" xfId="0" applyNumberFormat="1" applyFont="1" applyFill="1" applyBorder="1" applyAlignment="1">
      <x:alignment horizontal="center" vertical="center" wrapText="0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0"/>
    </x:xf>
    <x:xf numFmtId="0" fontId="7" fillId="7" borderId="1" xfId="0" applyNumberFormat="1" applyFont="1" applyFill="1" applyBorder="1" applyAlignment="1">
      <x:alignment horizontal="center" wrapText="0"/>
    </x:xf>
    <x:xf numFmtId="0" fontId="7" fillId="7" borderId="1" xfId="0" applyNumberFormat="1" applyFont="1" applyFill="1" applyBorder="1" applyAlignment="1">
      <x:alignment horizontal="center" vertical="center" wrapText="0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0"/>
    </x:xf>
    <x:xf numFmtId="0" fontId="8" fillId="4" borderId="0" xfId="0" applyNumberFormat="1" applyFont="1" applyFill="1" applyBorder="1" applyAlignment="1">
      <x:alignment horizontal="left" wrapText="0"/>
    </x:xf>
    <x:xf numFmtId="0" fontId="8" fillId="4" borderId="0" xfId="0" applyNumberFormat="1" applyFont="1" applyFill="1" applyBorder="1" applyAlignment="1">
      <x:alignment horizontal="left" vertical="center" wrapText="0"/>
    </x:xf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0"/>
    </x:xf>
    <x:xf numFmtId="0" fontId="8" fillId="4" borderId="1" xfId="0" applyNumberFormat="1" applyFont="1" applyFill="1" applyBorder="1" applyAlignment="1">
      <x:alignment horizontal="left" wrapText="0"/>
    </x:xf>
    <x:xf numFmtId="0" fontId="8" fillId="4" borderId="1" xfId="0" applyNumberFormat="1" applyFont="1" applyFill="1" applyBorder="1" applyAlignment="1">
      <x:alignment horizontal="left" vertical="center" wrapText="0"/>
    </x:xf>
    <x:xf numFmtId="0" fontId="5" fillId="3" borderId="0" xfId="0" applyNumberFormat="1" applyFont="1" applyFill="1" applyBorder="1" applyAlignment="1">
      <x:alignment horizontal="left" wrapText="0"/>
    </x:xf>
    <x:xf numFmtId="0" fontId="5" fillId="3" borderId="0" xfId="0" applyNumberFormat="1" applyFont="1" applyFill="1" applyBorder="1" applyAlignment="1">
      <x:alignment horizontal="left" vertical="center" wrapText="0"/>
    </x:xf>
    <x:xf numFmtId="0" fontId="5" fillId="3" borderId="1" xfId="0" applyNumberFormat="1" applyFont="1" applyFill="1" applyBorder="1" applyAlignment="1">
      <x:alignment horizontal="left" wrapText="0"/>
    </x:xf>
    <x:xf numFmtId="0" fontId="5" fillId="3" borderId="1" xfId="0" applyNumberFormat="1" applyFont="1" applyFill="1" applyBorder="1" applyAlignment="1">
      <x:alignment horizontal="left" vertical="center" wrapText="0"/>
    </x:xf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5" fillId="4" borderId="4" xfId="0" applyNumberFormat="1" applyFont="1" applyFill="1" applyBorder="1"/>
    <x:xf numFmtId="0" fontId="5" fillId="4" borderId="2" xfId="0" applyNumberFormat="1" applyFont="1" applyFill="1" applyBorder="1" applyAlignment="1">
      <x:alignment wrapText="1"/>
    </x:xf>
    <x:xf numFmtId="0" fontId="5" fillId="4" borderId="3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horizontal="center" wrapText="1"/>
    </x:xf>
    <x:xf numFmtId="0" fontId="5" fillId="4" borderId="3" xfId="0" applyNumberFormat="1" applyFont="1" applyFill="1" applyBorder="1" applyAlignment="1">
      <x:alignment horizontal="center" wrapText="1"/>
    </x:xf>
    <x:xf numFmtId="0" fontId="5" fillId="4" borderId="4" xfId="0" applyNumberFormat="1" applyFont="1" applyFill="1" applyBorder="1" applyAlignment="1">
      <x:alignment horizont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7" xfId="0" applyNumberFormat="1" applyFont="1" applyFill="1" applyBorder="1"/>
    <x:xf numFmtId="0" fontId="5" fillId="4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wrapText="1"/>
    </x:xf>
    <x:xf numFmtId="0" fontId="5" fillId="4" borderId="7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horizontal="center" wrapText="1"/>
    </x:xf>
    <x:xf numFmtId="0" fontId="5" fillId="4" borderId="6" xfId="0" applyNumberFormat="1" applyFont="1" applyFill="1" applyBorder="1" applyAlignment="1">
      <x:alignment horizontal="center" wrapText="1"/>
    </x:xf>
    <x:xf numFmtId="0" fontId="5" fillId="4" borderId="7" xfId="0" applyNumberFormat="1" applyFont="1" applyFill="1" applyBorder="1" applyAlignment="1">
      <x:alignment horizontal="center" wrapText="1"/>
    </x:xf>
    <x:xf numFmtId="0" fontId="5" fillId="4" borderId="5" xfId="0" applyNumberFormat="1" applyFont="1" applyFill="1" applyBorder="1" applyAlignment="1">
      <x:alignment horizontal="center" vertical="center" wrapText="1"/>
    </x:xf>
    <x:xf numFmtId="0" fontId="5" fillId="4" borderId="6" xfId="0" applyNumberFormat="1" applyFont="1" applyFill="1" applyBorder="1" applyAlignment="1">
      <x:alignment horizontal="center" vertical="center" wrapText="1"/>
    </x:xf>
    <x:xf numFmtId="0" fontId="5" fillId="4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0" fontId="6" fillId="6" borderId="13" xfId="0" applyNumberFormat="1" applyFont="1" applyFill="1" applyBorder="1"/>
    <x:xf numFmtId="0" fontId="6" fillId="6" borderId="14" xfId="0" applyNumberFormat="1" applyFont="1" applyFill="1" applyBorder="1"/>
    <x:xf numFmtId="0" fontId="6" fillId="6" borderId="15" xfId="0" applyNumberFormat="1" applyFont="1" applyFill="1" applyBorder="1"/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6" fillId="6" borderId="13" xfId="0" applyNumberFormat="1" applyFont="1" applyFill="1" applyBorder="1" applyAlignment="1">
      <x:alignment wrapText="1"/>
    </x:xf>
    <x:xf numFmtId="0" fontId="6" fillId="6" borderId="14" xfId="0" applyNumberFormat="1" applyFont="1" applyFill="1" applyBorder="1" applyAlignment="1">
      <x:alignment wrapText="1"/>
    </x:xf>
    <x:xf numFmtId="0" fontId="6" fillId="6" borderId="15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horizontal="left" wrapText="1"/>
    </x:xf>
    <x:xf numFmtId="0" fontId="6" fillId="6" borderId="9" xfId="0" applyNumberFormat="1" applyFont="1" applyFill="1" applyBorder="1" applyAlignment="1">
      <x:alignment horizontal="left" wrapText="1"/>
    </x:xf>
    <x:xf numFmtId="0" fontId="6" fillId="6" borderId="10" xfId="0" applyNumberFormat="1" applyFont="1" applyFill="1" applyBorder="1" applyAlignment="1">
      <x:alignment horizontal="left" wrapText="1"/>
    </x:xf>
    <x:xf numFmtId="0" fontId="6" fillId="6" borderId="11" xfId="0" applyNumberFormat="1" applyFont="1" applyFill="1" applyBorder="1" applyAlignment="1">
      <x:alignment horizontal="left" wrapText="1"/>
    </x:xf>
    <x:xf numFmtId="0" fontId="6" fillId="6" borderId="0" xfId="0" applyNumberFormat="1" applyFont="1" applyFill="1" applyBorder="1" applyAlignment="1">
      <x:alignment horizontal="left" wrapText="1"/>
    </x:xf>
    <x:xf numFmtId="0" fontId="6" fillId="6" borderId="12" xfId="0" applyNumberFormat="1" applyFont="1" applyFill="1" applyBorder="1" applyAlignment="1">
      <x:alignment horizontal="left" wrapText="1"/>
    </x:xf>
    <x:xf numFmtId="0" fontId="6" fillId="6" borderId="13" xfId="0" applyNumberFormat="1" applyFont="1" applyFill="1" applyBorder="1" applyAlignment="1">
      <x:alignment horizontal="left" wrapText="1"/>
    </x:xf>
    <x:xf numFmtId="0" fontId="6" fillId="6" borderId="14" xfId="0" applyNumberFormat="1" applyFont="1" applyFill="1" applyBorder="1" applyAlignment="1">
      <x:alignment horizontal="left" wrapText="1"/>
    </x:xf>
    <x:xf numFmtId="0" fontId="6" fillId="6" borderId="15" xfId="0" applyNumberFormat="1" applyFont="1" applyFill="1" applyBorder="1" applyAlignment="1">
      <x:alignment horizontal="left" wrapText="1"/>
    </x:xf>
    <x:xf numFmtId="0" fontId="6" fillId="6" borderId="8" xfId="0" applyNumberFormat="1" applyFont="1" applyFill="1" applyBorder="1" applyAlignment="1">
      <x:alignment horizontal="left" vertical="center" wrapText="1"/>
    </x:xf>
    <x:xf numFmtId="0" fontId="6" fillId="6" borderId="9" xfId="0" applyNumberFormat="1" applyFont="1" applyFill="1" applyBorder="1" applyAlignment="1">
      <x:alignment horizontal="left" vertical="center" wrapText="1"/>
    </x:xf>
    <x:xf numFmtId="0" fontId="6" fillId="6" borderId="10" xfId="0" applyNumberFormat="1" applyFont="1" applyFill="1" applyBorder="1" applyAlignment="1">
      <x:alignment horizontal="left" vertical="center" wrapText="1"/>
    </x:xf>
    <x:xf numFmtId="0" fontId="6" fillId="6" borderId="11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12" xfId="0" applyNumberFormat="1" applyFont="1" applyFill="1" applyBorder="1" applyAlignment="1">
      <x:alignment horizontal="left" vertical="center" wrapText="1"/>
    </x:xf>
    <x:xf numFmtId="0" fontId="6" fillId="6" borderId="13" xfId="0" applyNumberFormat="1" applyFont="1" applyFill="1" applyBorder="1" applyAlignment="1">
      <x:alignment horizontal="left" vertical="center" wrapText="1"/>
    </x:xf>
    <x:xf numFmtId="0" fontId="6" fillId="6" borderId="14" xfId="0" applyNumberFormat="1" applyFont="1" applyFill="1" applyBorder="1" applyAlignment="1">
      <x:alignment horizontal="left" vertical="center" wrapText="1"/>
    </x:xf>
    <x:xf numFmtId="0" fontId="6" fillId="6" borderId="15" xfId="0" applyNumberFormat="1" applyFont="1" applyFill="1" applyBorder="1" applyAlignment="1">
      <x:alignment horizontal="left" vertical="center" wrapText="1"/>
    </x:xf>
    <x:xf numFmtId="0" fontId="6" fillId="6" borderId="16" xfId="0" applyNumberFormat="1" applyFont="1" applyFill="1" applyBorder="1"/>
    <x:xf numFmtId="0" fontId="6" fillId="6" borderId="17" xfId="0" applyNumberFormat="1" applyFont="1" applyFill="1" applyBorder="1"/>
    <x:xf numFmtId="0" fontId="6" fillId="6" borderId="18" xfId="0" applyNumberFormat="1" applyFont="1" applyFill="1" applyBorder="1"/>
    <x:xf numFmtId="0" fontId="6" fillId="6" borderId="19" xfId="0" applyNumberFormat="1" applyFont="1" applyFill="1" applyBorder="1"/>
    <x:xf numFmtId="0" fontId="6" fillId="6" borderId="20" xfId="0" applyNumberFormat="1" applyFont="1" applyFill="1" applyBorder="1"/>
    <x:xf numFmtId="0" fontId="6" fillId="6" borderId="21" xfId="0" applyNumberFormat="1" applyFont="1" applyFill="1" applyBorder="1"/>
    <x:xf numFmtId="0" fontId="6" fillId="6" borderId="22" xfId="0" applyNumberFormat="1" applyFont="1" applyFill="1" applyBorder="1"/>
    <x:xf numFmtId="0" fontId="6" fillId="6" borderId="23" xfId="0" applyNumberFormat="1" applyFont="1" applyFill="1" applyBorder="1"/>
    <x:xf numFmtId="0" fontId="6" fillId="6" borderId="16" xfId="0" applyNumberFormat="1" applyFont="1" applyFill="1" applyBorder="1" applyAlignment="1">
      <x:alignment wrapText="1"/>
    </x:xf>
    <x:xf numFmtId="0" fontId="6" fillId="6" borderId="17" xfId="0" applyNumberFormat="1" applyFont="1" applyFill="1" applyBorder="1" applyAlignment="1">
      <x:alignment wrapText="1"/>
    </x:xf>
    <x:xf numFmtId="0" fontId="6" fillId="6" borderId="18" xfId="0" applyNumberFormat="1" applyFont="1" applyFill="1" applyBorder="1" applyAlignment="1">
      <x:alignment wrapText="1"/>
    </x:xf>
    <x:xf numFmtId="0" fontId="6" fillId="6" borderId="19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wrapText="1"/>
    </x:xf>
    <x:xf numFmtId="0" fontId="6" fillId="6" borderId="20" xfId="0" applyNumberFormat="1" applyFont="1" applyFill="1" applyBorder="1" applyAlignment="1">
      <x:alignment wrapText="1"/>
    </x:xf>
    <x:xf numFmtId="0" fontId="6" fillId="6" borderId="21" xfId="0" applyNumberFormat="1" applyFont="1" applyFill="1" applyBorder="1" applyAlignment="1">
      <x:alignment wrapText="1"/>
    </x:xf>
    <x:xf numFmtId="0" fontId="6" fillId="6" borderId="22" xfId="0" applyNumberFormat="1" applyFont="1" applyFill="1" applyBorder="1" applyAlignment="1">
      <x:alignment wrapText="1"/>
    </x:xf>
    <x:xf numFmtId="0" fontId="6" fillId="6" borderId="23" xfId="0" applyNumberFormat="1" applyFont="1" applyFill="1" applyBorder="1" applyAlignment="1">
      <x:alignment wrapText="1"/>
    </x:xf>
    <x:xf numFmtId="0" fontId="6" fillId="6" borderId="16" xfId="0" applyNumberFormat="1" applyFont="1" applyFill="1" applyBorder="1" applyAlignment="1">
      <x:alignment horizontal="left" wrapText="1"/>
    </x:xf>
    <x:xf numFmtId="0" fontId="6" fillId="6" borderId="17" xfId="0" applyNumberFormat="1" applyFont="1" applyFill="1" applyBorder="1" applyAlignment="1">
      <x:alignment horizontal="left" wrapText="1"/>
    </x:xf>
    <x:xf numFmtId="0" fontId="6" fillId="6" borderId="18" xfId="0" applyNumberFormat="1" applyFont="1" applyFill="1" applyBorder="1" applyAlignment="1">
      <x:alignment horizontal="left" wrapText="1"/>
    </x:xf>
    <x:xf numFmtId="0" fontId="6" fillId="6" borderId="19" xfId="0" applyNumberFormat="1" applyFont="1" applyFill="1" applyBorder="1" applyAlignment="1">
      <x:alignment horizontal="left" wrapText="1"/>
    </x:xf>
    <x:xf numFmtId="0" fontId="6" fillId="6" borderId="1" xfId="0" applyNumberFormat="1" applyFont="1" applyFill="1" applyBorder="1" applyAlignment="1">
      <x:alignment horizontal="left" wrapText="1"/>
    </x:xf>
    <x:xf numFmtId="0" fontId="6" fillId="6" borderId="20" xfId="0" applyNumberFormat="1" applyFont="1" applyFill="1" applyBorder="1" applyAlignment="1">
      <x:alignment horizontal="left" wrapText="1"/>
    </x:xf>
    <x:xf numFmtId="0" fontId="6" fillId="6" borderId="21" xfId="0" applyNumberFormat="1" applyFont="1" applyFill="1" applyBorder="1" applyAlignment="1">
      <x:alignment horizontal="left" wrapText="1"/>
    </x:xf>
    <x:xf numFmtId="0" fontId="6" fillId="6" borderId="22" xfId="0" applyNumberFormat="1" applyFont="1" applyFill="1" applyBorder="1" applyAlignment="1">
      <x:alignment horizontal="left" wrapText="1"/>
    </x:xf>
    <x:xf numFmtId="0" fontId="6" fillId="6" borderId="23" xfId="0" applyNumberFormat="1" applyFont="1" applyFill="1" applyBorder="1" applyAlignment="1">
      <x:alignment horizontal="left" wrapText="1"/>
    </x:xf>
    <x:xf numFmtId="0" fontId="6" fillId="6" borderId="16" xfId="0" applyNumberFormat="1" applyFont="1" applyFill="1" applyBorder="1" applyAlignment="1">
      <x:alignment horizontal="left" vertical="center" wrapText="1"/>
    </x:xf>
    <x:xf numFmtId="0" fontId="6" fillId="6" borderId="17" xfId="0" applyNumberFormat="1" applyFont="1" applyFill="1" applyBorder="1" applyAlignment="1">
      <x:alignment horizontal="left" vertical="center" wrapText="1"/>
    </x:xf>
    <x:xf numFmtId="0" fontId="6" fillId="6" borderId="18" xfId="0" applyNumberFormat="1" applyFont="1" applyFill="1" applyBorder="1" applyAlignment="1">
      <x:alignment horizontal="left" vertical="center" wrapText="1"/>
    </x:xf>
    <x:xf numFmtId="0" fontId="6" fillId="6" borderId="19" xfId="0" applyNumberFormat="1" applyFont="1" applyFill="1" applyBorder="1" applyAlignment="1">
      <x:alignment horizontal="left" vertical="center" wrapText="1"/>
    </x:xf>
    <x:xf numFmtId="0" fontId="6" fillId="6" borderId="1" xfId="0" applyNumberFormat="1" applyFont="1" applyFill="1" applyBorder="1" applyAlignment="1">
      <x:alignment horizontal="left" vertical="center" wrapText="1"/>
    </x:xf>
    <x:xf numFmtId="0" fontId="6" fillId="6" borderId="20" xfId="0" applyNumberFormat="1" applyFont="1" applyFill="1" applyBorder="1" applyAlignment="1">
      <x:alignment horizontal="left" vertical="center" wrapText="1"/>
    </x:xf>
    <x:xf numFmtId="0" fontId="6" fillId="6" borderId="21" xfId="0" applyNumberFormat="1" applyFont="1" applyFill="1" applyBorder="1" applyAlignment="1">
      <x:alignment horizontal="left" vertical="center" wrapText="1"/>
    </x:xf>
    <x:xf numFmtId="0" fontId="6" fillId="6" borderId="22" xfId="0" applyNumberFormat="1" applyFont="1" applyFill="1" applyBorder="1" applyAlignment="1">
      <x:alignment horizontal="left" vertical="center" wrapText="1"/>
    </x:xf>
    <x:xf numFmtId="0" fontId="6" fillId="6" borderId="23" xfId="0" applyNumberFormat="1" applyFont="1" applyFill="1" applyBorder="1" applyAlignment="1">
      <x:alignment horizontal="left" vertical="center" wrapText="1"/>
    </x:xf>
    <x:xf numFmtId="0" fontId="6" fillId="5" borderId="9" xfId="0" applyNumberFormat="1" applyFont="1" applyFill="1" applyBorder="1" applyAlignment="1">
      <x:alignment horizontal="left" vertical="center" wrapText="1"/>
    </x:xf>
    <x:xf numFmtId="0" fontId="6" fillId="5" borderId="17" xfId="0" applyNumberFormat="1" applyFont="1" applyFill="1" applyBorder="1" applyAlignment="1">
      <x:alignment horizontal="left" vertical="center" wrapText="1"/>
    </x:xf>
    <x:xf numFmtId="0" fontId="9" fillId="5" borderId="9" xfId="0" applyNumberFormat="1" applyFont="1" applyFill="1" applyBorder="1" applyAlignment="1">
      <x:alignment horizontal="left" vertical="center" wrapText="1"/>
    </x:xf>
    <x:xf numFmtId="0" fontId="9" fillId="5" borderId="17" xfId="0" applyNumberFormat="1" applyFont="1" applyFill="1" applyBorder="1" applyAlignment="1">
      <x:alignment horizontal="left" vertical="center" wrapText="1"/>
    </x:xf>
    <x:xf numFmtId="0" fontId="6" fillId="5" borderId="0" xfId="0" applyNumberFormat="1" applyFont="1" applyFill="1" applyBorder="1" applyAlignment="1">
      <x:alignment horizontal="left" vertical="center" wrapText="1"/>
    </x:xf>
    <x:xf numFmtId="0" fontId="6" fillId="5" borderId="1" xfId="0" applyNumberFormat="1" applyFont="1" applyFill="1" applyBorder="1" applyAlignment="1">
      <x:alignment horizontal="left" vertical="center" wrapText="1"/>
    </x:xf>
    <x:xf numFmtId="0" fontId="9" fillId="5" borderId="0" xfId="0" applyNumberFormat="1" applyFont="1" applyFill="1" applyBorder="1" applyAlignment="1">
      <x:alignment horizontal="left" vertical="center" wrapText="1"/>
    </x:xf>
    <x:xf numFmtId="0" fontId="9" fillId="5" borderId="1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1" xfId="0" applyNumberFormat="1" applyFont="1" applyFill="1" applyBorder="1" applyAlignment="1">
      <x:alignment horizontal="left" vertical="center" wrapText="1"/>
    </x:xf>
    <x:xf numFmtId="0" fontId="9" fillId="8" borderId="0" xfId="0" applyNumberFormat="1" applyFont="1" applyFill="1" applyBorder="1" applyAlignment="1">
      <x:alignment horizontal="left" vertical="center" wrapText="1"/>
    </x:xf>
    <x:xf numFmtId="0" fontId="9" fillId="8" borderId="1" xfId="0" applyNumberFormat="1" applyFont="1" applyFill="1" applyBorder="1" applyAlignment="1">
      <x:alignment horizontal="left" vertical="center" wrapText="1"/>
    </x:xf>
    <x:xf numFmtId="0" fontId="6" fillId="9" borderId="0" xfId="0" applyNumberFormat="1" applyFont="1" applyFill="1" applyBorder="1" applyAlignment="1">
      <x:alignment horizontal="left" vertical="center" wrapText="1"/>
    </x:xf>
    <x:xf numFmtId="0" fontId="6" fillId="9" borderId="1" xfId="0" applyNumberFormat="1" applyFont="1" applyFill="1" applyBorder="1" applyAlignment="1">
      <x:alignment horizontal="left" vertical="center" wrapText="1"/>
    </x:xf>
    <x:xf numFmtId="0" fontId="9" fillId="9" borderId="0" xfId="0" applyNumberFormat="1" applyFont="1" applyFill="1" applyBorder="1" applyAlignment="1">
      <x:alignment horizontal="left" vertical="center" wrapText="1"/>
    </x:xf>
    <x:xf numFmtId="0" fontId="9" fillId="9" borderId="1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6" fillId="2" borderId="1" xfId="0" applyNumberFormat="1" applyFont="1" applyFill="1" applyBorder="1" applyAlignment="1">
      <x:alignment horizontal="left" vertical="center" wrapText="1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9" fillId="2" borderId="1" xfId="0" applyNumberFormat="1" applyFont="1" applyFill="1" applyBorder="1" applyAlignment="1">
      <x:alignment horizontal="left" vertical="center" wrapText="1"/>
    </x:xf>
    <x:xf numFmtId="0" fontId="6" fillId="2" borderId="14" xfId="0" applyNumberFormat="1" applyFont="1" applyFill="1" applyBorder="1" applyAlignment="1">
      <x:alignment horizontal="left" vertical="center" wrapText="1"/>
    </x:xf>
    <x:xf numFmtId="0" fontId="6" fillId="2" borderId="22" xfId="0" applyNumberFormat="1" applyFont="1" applyFill="1" applyBorder="1" applyAlignment="1">
      <x:alignment horizontal="left" vertical="center" wrapText="1"/>
    </x:xf>
    <x:xf numFmtId="0" fontId="9" fillId="2" borderId="14" xfId="0" applyNumberFormat="1" applyFont="1" applyFill="1" applyBorder="1" applyAlignment="1">
      <x:alignment horizontal="left" vertical="center" wrapText="1"/>
    </x:xf>
    <x:xf numFmtId="0" fontId="9" fillId="2" borderId="22" xfId="0" applyNumberFormat="1" applyFont="1" applyFill="1" applyBorder="1" applyAlignment="1">
      <x:alignment horizontal="left" vertical="center" wrapText="1"/>
    </x:xf>
    <x:xf numFmtId="0" fontId="10" fillId="6" borderId="0" xfId="0" applyNumberFormat="1" applyFont="1" applyFill="1" applyBorder="1"/>
    <x:xf numFmtId="0" fontId="10" fillId="6" borderId="8" xfId="0" applyNumberFormat="1" applyFont="1" applyFill="1" applyBorder="1"/>
    <x:xf numFmtId="0" fontId="10" fillId="6" borderId="9" xfId="0" applyNumberFormat="1" applyFont="1" applyFill="1" applyBorder="1"/>
    <x:xf numFmtId="0" fontId="10" fillId="6" borderId="10" xfId="0" applyNumberFormat="1" applyFont="1" applyFill="1" applyBorder="1"/>
    <x:xf numFmtId="0" fontId="10" fillId="6" borderId="11" xfId="0" applyNumberFormat="1" applyFont="1" applyFill="1" applyBorder="1"/>
    <x:xf numFmtId="0" fontId="10" fillId="6" borderId="12" xfId="0" applyNumberFormat="1" applyFont="1" applyFill="1" applyBorder="1"/>
    <x:xf numFmtId="0" fontId="10" fillId="6" borderId="13" xfId="0" applyNumberFormat="1" applyFont="1" applyFill="1" applyBorder="1"/>
    <x:xf numFmtId="0" fontId="10" fillId="6" borderId="14" xfId="0" applyNumberFormat="1" applyFont="1" applyFill="1" applyBorder="1"/>
    <x:xf numFmtId="0" fontId="10" fillId="6" borderId="15" xfId="0" applyNumberFormat="1" applyFont="1" applyFill="1" applyBorder="1"/>
    <x:xf numFmtId="0" fontId="10" fillId="6" borderId="8" xfId="0" applyNumberFormat="1" applyFont="1" applyFill="1" applyBorder="1" applyAlignment="1">
      <x:alignment wrapText="0"/>
    </x:xf>
    <x:xf numFmtId="0" fontId="10" fillId="6" borderId="9" xfId="0" applyNumberFormat="1" applyFont="1" applyFill="1" applyBorder="1" applyAlignment="1">
      <x:alignment wrapText="0"/>
    </x:xf>
    <x:xf numFmtId="0" fontId="10" fillId="6" borderId="10" xfId="0" applyNumberFormat="1" applyFont="1" applyFill="1" applyBorder="1" applyAlignment="1">
      <x:alignment wrapText="0"/>
    </x:xf>
    <x:xf numFmtId="0" fontId="10" fillId="6" borderId="11" xfId="0" applyNumberFormat="1" applyFont="1" applyFill="1" applyBorder="1" applyAlignment="1">
      <x:alignment wrapText="0"/>
    </x:xf>
    <x:xf numFmtId="0" fontId="10" fillId="6" borderId="0" xfId="0" applyNumberFormat="1" applyFont="1" applyFill="1" applyBorder="1" applyAlignment="1">
      <x:alignment wrapText="0"/>
    </x:xf>
    <x:xf numFmtId="0" fontId="10" fillId="6" borderId="12" xfId="0" applyNumberFormat="1" applyFont="1" applyFill="1" applyBorder="1" applyAlignment="1">
      <x:alignment wrapText="0"/>
    </x:xf>
    <x:xf numFmtId="0" fontId="10" fillId="6" borderId="13" xfId="0" applyNumberFormat="1" applyFont="1" applyFill="1" applyBorder="1" applyAlignment="1">
      <x:alignment wrapText="0"/>
    </x:xf>
    <x:xf numFmtId="0" fontId="10" fillId="6" borderId="14" xfId="0" applyNumberFormat="1" applyFont="1" applyFill="1" applyBorder="1" applyAlignment="1">
      <x:alignment wrapText="0"/>
    </x:xf>
    <x:xf numFmtId="0" fontId="10" fillId="6" borderId="15" xfId="0" applyNumberFormat="1" applyFont="1" applyFill="1" applyBorder="1" applyAlignment="1">
      <x:alignment wrapText="0"/>
    </x:xf>
    <x:xf numFmtId="0" fontId="10" fillId="6" borderId="8" xfId="0" applyNumberFormat="1" applyFont="1" applyFill="1" applyBorder="1" applyAlignment="1">
      <x:alignment horizontal="left" wrapText="0"/>
    </x:xf>
    <x:xf numFmtId="0" fontId="10" fillId="6" borderId="9" xfId="0" applyNumberFormat="1" applyFont="1" applyFill="1" applyBorder="1" applyAlignment="1">
      <x:alignment horizontal="left" wrapText="0"/>
    </x:xf>
    <x:xf numFmtId="0" fontId="10" fillId="6" borderId="10" xfId="0" applyNumberFormat="1" applyFont="1" applyFill="1" applyBorder="1" applyAlignment="1">
      <x:alignment horizontal="left" wrapText="0"/>
    </x:xf>
    <x:xf numFmtId="0" fontId="10" fillId="6" borderId="11" xfId="0" applyNumberFormat="1" applyFont="1" applyFill="1" applyBorder="1" applyAlignment="1">
      <x:alignment horizontal="left" wrapText="0"/>
    </x:xf>
    <x:xf numFmtId="0" fontId="10" fillId="6" borderId="0" xfId="0" applyNumberFormat="1" applyFont="1" applyFill="1" applyBorder="1" applyAlignment="1">
      <x:alignment horizontal="left" wrapText="0"/>
    </x:xf>
    <x:xf numFmtId="0" fontId="10" fillId="6" borderId="12" xfId="0" applyNumberFormat="1" applyFont="1" applyFill="1" applyBorder="1" applyAlignment="1">
      <x:alignment horizontal="left" wrapText="0"/>
    </x:xf>
    <x:xf numFmtId="0" fontId="10" fillId="6" borderId="13" xfId="0" applyNumberFormat="1" applyFont="1" applyFill="1" applyBorder="1" applyAlignment="1">
      <x:alignment horizontal="left" wrapText="0"/>
    </x:xf>
    <x:xf numFmtId="0" fontId="10" fillId="6" borderId="14" xfId="0" applyNumberFormat="1" applyFont="1" applyFill="1" applyBorder="1" applyAlignment="1">
      <x:alignment horizontal="left" wrapText="0"/>
    </x:xf>
    <x:xf numFmtId="0" fontId="10" fillId="6" borderId="15" xfId="0" applyNumberFormat="1" applyFont="1" applyFill="1" applyBorder="1" applyAlignment="1">
      <x:alignment horizontal="left" wrapText="0"/>
    </x:xf>
    <x:xf numFmtId="0" fontId="10" fillId="6" borderId="8" xfId="0" applyNumberFormat="1" applyFont="1" applyFill="1" applyBorder="1" applyAlignment="1">
      <x:alignment horizontal="left" vertical="center" wrapText="0"/>
    </x:xf>
    <x:xf numFmtId="0" fontId="10" fillId="6" borderId="9" xfId="0" applyNumberFormat="1" applyFont="1" applyFill="1" applyBorder="1" applyAlignment="1">
      <x:alignment horizontal="left" vertical="center" wrapText="0"/>
    </x:xf>
    <x:xf numFmtId="0" fontId="10" fillId="6" borderId="10" xfId="0" applyNumberFormat="1" applyFont="1" applyFill="1" applyBorder="1" applyAlignment="1">
      <x:alignment horizontal="left" vertical="center" wrapText="0"/>
    </x:xf>
    <x:xf numFmtId="0" fontId="10" fillId="6" borderId="11" xfId="0" applyNumberFormat="1" applyFont="1" applyFill="1" applyBorder="1" applyAlignment="1">
      <x:alignment horizontal="left" vertical="center" wrapText="0"/>
    </x:xf>
    <x:xf numFmtId="0" fontId="10" fillId="6" borderId="0" xfId="0" applyNumberFormat="1" applyFont="1" applyFill="1" applyBorder="1" applyAlignment="1">
      <x:alignment horizontal="left" vertical="center" wrapText="0"/>
    </x:xf>
    <x:xf numFmtId="0" fontId="10" fillId="6" borderId="12" xfId="0" applyNumberFormat="1" applyFont="1" applyFill="1" applyBorder="1" applyAlignment="1">
      <x:alignment horizontal="left" vertical="center" wrapText="0"/>
    </x:xf>
    <x:xf numFmtId="0" fontId="10" fillId="6" borderId="13" xfId="0" applyNumberFormat="1" applyFont="1" applyFill="1" applyBorder="1" applyAlignment="1">
      <x:alignment horizontal="left" vertical="center" wrapText="0"/>
    </x:xf>
    <x:xf numFmtId="0" fontId="10" fillId="6" borderId="14" xfId="0" applyNumberFormat="1" applyFont="1" applyFill="1" applyBorder="1" applyAlignment="1">
      <x:alignment horizontal="left" vertical="center" wrapText="0"/>
    </x:xf>
    <x:xf numFmtId="0" fontId="10" fillId="6" borderId="15" xfId="0" applyNumberFormat="1" applyFont="1" applyFill="1" applyBorder="1" applyAlignment="1">
      <x:alignment horizontal="left" vertical="center" wrapText="0"/>
    </x:xf>
    <x:xf numFmtId="0" fontId="10" fillId="6" borderId="1" xfId="0" applyNumberFormat="1" applyFont="1" applyFill="1" applyBorder="1"/>
    <x:xf numFmtId="0" fontId="10" fillId="6" borderId="16" xfId="0" applyNumberFormat="1" applyFont="1" applyFill="1" applyBorder="1"/>
    <x:xf numFmtId="0" fontId="10" fillId="6" borderId="17" xfId="0" applyNumberFormat="1" applyFont="1" applyFill="1" applyBorder="1"/>
    <x:xf numFmtId="0" fontId="10" fillId="6" borderId="18" xfId="0" applyNumberFormat="1" applyFont="1" applyFill="1" applyBorder="1"/>
    <x:xf numFmtId="0" fontId="10" fillId="6" borderId="19" xfId="0" applyNumberFormat="1" applyFont="1" applyFill="1" applyBorder="1"/>
    <x:xf numFmtId="0" fontId="10" fillId="6" borderId="20" xfId="0" applyNumberFormat="1" applyFont="1" applyFill="1" applyBorder="1"/>
    <x:xf numFmtId="0" fontId="10" fillId="6" borderId="21" xfId="0" applyNumberFormat="1" applyFont="1" applyFill="1" applyBorder="1"/>
    <x:xf numFmtId="0" fontId="10" fillId="6" borderId="22" xfId="0" applyNumberFormat="1" applyFont="1" applyFill="1" applyBorder="1"/>
    <x:xf numFmtId="0" fontId="10" fillId="6" borderId="23" xfId="0" applyNumberFormat="1" applyFont="1" applyFill="1" applyBorder="1"/>
    <x:xf numFmtId="0" fontId="10" fillId="6" borderId="16" xfId="0" applyNumberFormat="1" applyFont="1" applyFill="1" applyBorder="1" applyAlignment="1">
      <x:alignment wrapText="0"/>
    </x:xf>
    <x:xf numFmtId="0" fontId="10" fillId="6" borderId="17" xfId="0" applyNumberFormat="1" applyFont="1" applyFill="1" applyBorder="1" applyAlignment="1">
      <x:alignment wrapText="0"/>
    </x:xf>
    <x:xf numFmtId="0" fontId="10" fillId="6" borderId="18" xfId="0" applyNumberFormat="1" applyFont="1" applyFill="1" applyBorder="1" applyAlignment="1">
      <x:alignment wrapText="0"/>
    </x:xf>
    <x:xf numFmtId="0" fontId="10" fillId="6" borderId="19" xfId="0" applyNumberFormat="1" applyFont="1" applyFill="1" applyBorder="1" applyAlignment="1">
      <x:alignment wrapText="0"/>
    </x:xf>
    <x:xf numFmtId="0" fontId="10" fillId="6" borderId="1" xfId="0" applyNumberFormat="1" applyFont="1" applyFill="1" applyBorder="1" applyAlignment="1">
      <x:alignment wrapText="0"/>
    </x:xf>
    <x:xf numFmtId="0" fontId="10" fillId="6" borderId="20" xfId="0" applyNumberFormat="1" applyFont="1" applyFill="1" applyBorder="1" applyAlignment="1">
      <x:alignment wrapText="0"/>
    </x:xf>
    <x:xf numFmtId="0" fontId="10" fillId="6" borderId="21" xfId="0" applyNumberFormat="1" applyFont="1" applyFill="1" applyBorder="1" applyAlignment="1">
      <x:alignment wrapText="0"/>
    </x:xf>
    <x:xf numFmtId="0" fontId="10" fillId="6" borderId="22" xfId="0" applyNumberFormat="1" applyFont="1" applyFill="1" applyBorder="1" applyAlignment="1">
      <x:alignment wrapText="0"/>
    </x:xf>
    <x:xf numFmtId="0" fontId="10" fillId="6" borderId="23" xfId="0" applyNumberFormat="1" applyFont="1" applyFill="1" applyBorder="1" applyAlignment="1">
      <x:alignment wrapText="0"/>
    </x:xf>
    <x:xf numFmtId="0" fontId="10" fillId="6" borderId="16" xfId="0" applyNumberFormat="1" applyFont="1" applyFill="1" applyBorder="1" applyAlignment="1">
      <x:alignment horizontal="left" wrapText="0"/>
    </x:xf>
    <x:xf numFmtId="0" fontId="10" fillId="6" borderId="17" xfId="0" applyNumberFormat="1" applyFont="1" applyFill="1" applyBorder="1" applyAlignment="1">
      <x:alignment horizontal="left" wrapText="0"/>
    </x:xf>
    <x:xf numFmtId="0" fontId="10" fillId="6" borderId="18" xfId="0" applyNumberFormat="1" applyFont="1" applyFill="1" applyBorder="1" applyAlignment="1">
      <x:alignment horizontal="left" wrapText="0"/>
    </x:xf>
    <x:xf numFmtId="0" fontId="10" fillId="6" borderId="19" xfId="0" applyNumberFormat="1" applyFont="1" applyFill="1" applyBorder="1" applyAlignment="1">
      <x:alignment horizontal="left" wrapText="0"/>
    </x:xf>
    <x:xf numFmtId="0" fontId="10" fillId="6" borderId="1" xfId="0" applyNumberFormat="1" applyFont="1" applyFill="1" applyBorder="1" applyAlignment="1">
      <x:alignment horizontal="left" wrapText="0"/>
    </x:xf>
    <x:xf numFmtId="0" fontId="10" fillId="6" borderId="20" xfId="0" applyNumberFormat="1" applyFont="1" applyFill="1" applyBorder="1" applyAlignment="1">
      <x:alignment horizontal="left" wrapText="0"/>
    </x:xf>
    <x:xf numFmtId="0" fontId="10" fillId="6" borderId="21" xfId="0" applyNumberFormat="1" applyFont="1" applyFill="1" applyBorder="1" applyAlignment="1">
      <x:alignment horizontal="left" wrapText="0"/>
    </x:xf>
    <x:xf numFmtId="0" fontId="10" fillId="6" borderId="22" xfId="0" applyNumberFormat="1" applyFont="1" applyFill="1" applyBorder="1" applyAlignment="1">
      <x:alignment horizontal="left" wrapText="0"/>
    </x:xf>
    <x:xf numFmtId="0" fontId="10" fillId="6" borderId="23" xfId="0" applyNumberFormat="1" applyFont="1" applyFill="1" applyBorder="1" applyAlignment="1">
      <x:alignment horizontal="left" wrapText="0"/>
    </x:xf>
    <x:xf numFmtId="0" fontId="10" fillId="6" borderId="16" xfId="0" applyNumberFormat="1" applyFont="1" applyFill="1" applyBorder="1" applyAlignment="1">
      <x:alignment horizontal="left" vertical="center" wrapText="0"/>
    </x:xf>
    <x:xf numFmtId="0" fontId="10" fillId="6" borderId="17" xfId="0" applyNumberFormat="1" applyFont="1" applyFill="1" applyBorder="1" applyAlignment="1">
      <x:alignment horizontal="left" vertical="center" wrapText="0"/>
    </x:xf>
    <x:xf numFmtId="0" fontId="10" fillId="6" borderId="18" xfId="0" applyNumberFormat="1" applyFont="1" applyFill="1" applyBorder="1" applyAlignment="1">
      <x:alignment horizontal="left" vertical="center" wrapText="0"/>
    </x:xf>
    <x:xf numFmtId="0" fontId="10" fillId="6" borderId="19" xfId="0" applyNumberFormat="1" applyFont="1" applyFill="1" applyBorder="1" applyAlignment="1">
      <x:alignment horizontal="left" vertical="center" wrapText="0"/>
    </x:xf>
    <x:xf numFmtId="0" fontId="10" fillId="6" borderId="1" xfId="0" applyNumberFormat="1" applyFont="1" applyFill="1" applyBorder="1" applyAlignment="1">
      <x:alignment horizontal="left" vertical="center" wrapText="0"/>
    </x:xf>
    <x:xf numFmtId="0" fontId="10" fillId="6" borderId="20" xfId="0" applyNumberFormat="1" applyFont="1" applyFill="1" applyBorder="1" applyAlignment="1">
      <x:alignment horizontal="left" vertical="center" wrapText="0"/>
    </x:xf>
    <x:xf numFmtId="0" fontId="10" fillId="6" borderId="21" xfId="0" applyNumberFormat="1" applyFont="1" applyFill="1" applyBorder="1" applyAlignment="1">
      <x:alignment horizontal="left" vertical="center" wrapText="0"/>
    </x:xf>
    <x:xf numFmtId="0" fontId="10" fillId="6" borderId="22" xfId="0" applyNumberFormat="1" applyFont="1" applyFill="1" applyBorder="1" applyAlignment="1">
      <x:alignment horizontal="left" vertical="center" wrapText="0"/>
    </x:xf>
    <x:xf numFmtId="0" fontId="10" fillId="6" borderId="23" xfId="0" applyNumberFormat="1" applyFont="1" applyFill="1" applyBorder="1" applyAlignment="1">
      <x:alignment horizontal="left" vertical="center" wrapText="0"/>
    </x:xf>
    <x:xf numFmtId="200" fontId="10" fillId="6" borderId="9" xfId="0" applyNumberFormat="1" applyFont="1" applyFill="1" applyBorder="1" applyAlignment="1">
      <x:alignment horizontal="left" vertical="center" wrapText="0"/>
    </x:xf>
    <x:xf numFmtId="200" fontId="10" fillId="6" borderId="0" xfId="0" applyNumberFormat="1" applyFont="1" applyFill="1" applyBorder="1" applyAlignment="1">
      <x:alignment horizontal="left" vertical="center" wrapText="0"/>
    </x:xf>
    <x:xf numFmtId="200" fontId="10" fillId="6" borderId="14" xfId="0" applyNumberFormat="1" applyFont="1" applyFill="1" applyBorder="1" applyAlignment="1">
      <x:alignment horizontal="left" vertical="center" wrapText="0"/>
    </x:xf>
    <x:xf numFmtId="200" fontId="10" fillId="6" borderId="17" xfId="0" applyNumberFormat="1" applyFont="1" applyFill="1" applyBorder="1" applyAlignment="1">
      <x:alignment horizontal="left" vertical="center" wrapText="0"/>
    </x:xf>
    <x:xf numFmtId="200" fontId="10" fillId="6" borderId="1" xfId="0" applyNumberFormat="1" applyFont="1" applyFill="1" applyBorder="1" applyAlignment="1">
      <x:alignment horizontal="left" vertical="center" wrapText="0"/>
    </x:xf>
    <x:xf numFmtId="200" fontId="10" fillId="6" borderId="22" xfId="0" applyNumberFormat="1" applyFont="1" applyFill="1" applyBorder="1" applyAlignment="1">
      <x:alignment horizontal="left" vertical="center" wrapText="0"/>
    </x:xf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left" wrapText="1"/>
    </x:xf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horizontal="left" wrapText="1"/>
    </x:xf>
    <x:xf numFmtId="0" fontId="10" fillId="8" borderId="9" xfId="0" applyNumberFormat="1" applyFont="1" applyFill="1" applyBorder="1" applyAlignment="1">
      <x:alignment horizontal="left" vertical="center" wrapText="0"/>
    </x:xf>
    <x:xf numFmtId="0" fontId="10" fillId="8" borderId="10" xfId="0" applyNumberFormat="1" applyFont="1" applyFill="1" applyBorder="1" applyAlignment="1">
      <x:alignment horizontal="left" vertical="center" wrapText="0"/>
    </x:xf>
    <x:xf numFmtId="0" fontId="10" fillId="8" borderId="0" xfId="0" applyNumberFormat="1" applyFont="1" applyFill="1" applyBorder="1" applyAlignment="1">
      <x:alignment horizontal="left" vertical="center" wrapText="0"/>
    </x:xf>
    <x:xf numFmtId="0" fontId="10" fillId="8" borderId="12" xfId="0" applyNumberFormat="1" applyFont="1" applyFill="1" applyBorder="1" applyAlignment="1">
      <x:alignment horizontal="left" vertical="center" wrapText="0"/>
    </x:xf>
    <x:xf numFmtId="0" fontId="10" fillId="8" borderId="14" xfId="0" applyNumberFormat="1" applyFont="1" applyFill="1" applyBorder="1" applyAlignment="1">
      <x:alignment horizontal="left" vertical="center" wrapText="0"/>
    </x:xf>
    <x:xf numFmtId="0" fontId="10" fillId="8" borderId="15" xfId="0" applyNumberFormat="1" applyFont="1" applyFill="1" applyBorder="1" applyAlignment="1">
      <x:alignment horizontal="left" vertical="center" wrapText="0"/>
    </x:xf>
    <x:xf numFmtId="0" fontId="10" fillId="8" borderId="17" xfId="0" applyNumberFormat="1" applyFont="1" applyFill="1" applyBorder="1" applyAlignment="1">
      <x:alignment horizontal="left" vertical="center" wrapText="0"/>
    </x:xf>
    <x:xf numFmtId="0" fontId="10" fillId="8" borderId="18" xfId="0" applyNumberFormat="1" applyFont="1" applyFill="1" applyBorder="1" applyAlignment="1">
      <x:alignment horizontal="left" vertical="center" wrapText="0"/>
    </x:xf>
    <x:xf numFmtId="0" fontId="10" fillId="8" borderId="1" xfId="0" applyNumberFormat="1" applyFont="1" applyFill="1" applyBorder="1" applyAlignment="1">
      <x:alignment horizontal="left" vertical="center" wrapText="0"/>
    </x:xf>
    <x:xf numFmtId="0" fontId="10" fillId="8" borderId="20" xfId="0" applyNumberFormat="1" applyFont="1" applyFill="1" applyBorder="1" applyAlignment="1">
      <x:alignment horizontal="left" vertical="center" wrapText="0"/>
    </x:xf>
    <x:xf numFmtId="0" fontId="10" fillId="8" borderId="22" xfId="0" applyNumberFormat="1" applyFont="1" applyFill="1" applyBorder="1" applyAlignment="1">
      <x:alignment horizontal="left" vertical="center" wrapText="0"/>
    </x:xf>
    <x:xf numFmtId="0" fontId="10" fillId="8" borderId="23" xfId="0" applyNumberFormat="1" applyFont="1" applyFill="1" applyBorder="1" applyAlignment="1">
      <x:alignment horizontal="left" vertical="center" wrapText="0"/>
    </x:xf>
    <x:xf numFmtId="0" fontId="10" fillId="6" borderId="2" xfId="0" applyNumberFormat="1" applyFont="1" applyFill="1" applyBorder="1"/>
    <x:xf numFmtId="0" fontId="10" fillId="6" borderId="3" xfId="0" applyNumberFormat="1" applyFont="1" applyFill="1" applyBorder="1"/>
    <x:xf numFmtId="0" fontId="10" fillId="6" borderId="4" xfId="0" applyNumberFormat="1" applyFont="1" applyFill="1" applyBorder="1"/>
    <x:xf numFmtId="0" fontId="10" fillId="6" borderId="2" xfId="0" applyNumberFormat="1" applyFont="1" applyFill="1" applyBorder="1" applyAlignment="1">
      <x:alignment wrapText="0"/>
    </x:xf>
    <x:xf numFmtId="0" fontId="10" fillId="6" borderId="3" xfId="0" applyNumberFormat="1" applyFont="1" applyFill="1" applyBorder="1" applyAlignment="1">
      <x:alignment wrapText="0"/>
    </x:xf>
    <x:xf numFmtId="0" fontId="10" fillId="6" borderId="4" xfId="0" applyNumberFormat="1" applyFont="1" applyFill="1" applyBorder="1" applyAlignment="1">
      <x:alignment wrapText="0"/>
    </x:xf>
    <x:xf numFmtId="0" fontId="10" fillId="6" borderId="2" xfId="0" applyNumberFormat="1" applyFont="1" applyFill="1" applyBorder="1" applyAlignment="1">
      <x:alignment horizontal="left" wrapText="0"/>
    </x:xf>
    <x:xf numFmtId="0" fontId="10" fillId="6" borderId="3" xfId="0" applyNumberFormat="1" applyFont="1" applyFill="1" applyBorder="1" applyAlignment="1">
      <x:alignment horizontal="left" wrapText="0"/>
    </x:xf>
    <x:xf numFmtId="0" fontId="10" fillId="6" borderId="4" xfId="0" applyNumberFormat="1" applyFont="1" applyFill="1" applyBorder="1" applyAlignment="1">
      <x:alignment horizontal="left" wrapText="0"/>
    </x:xf>
    <x:xf numFmtId="0" fontId="10" fillId="6" borderId="2" xfId="0" applyNumberFormat="1" applyFont="1" applyFill="1" applyBorder="1" applyAlignment="1">
      <x:alignment horizontal="left" vertical="center" wrapText="0"/>
    </x:xf>
    <x:xf numFmtId="0" fontId="10" fillId="6" borderId="3" xfId="0" applyNumberFormat="1" applyFont="1" applyFill="1" applyBorder="1" applyAlignment="1">
      <x:alignment horizontal="left" vertical="center" wrapText="0"/>
    </x:xf>
    <x:xf numFmtId="0" fontId="10" fillId="6" borderId="4" xfId="0" applyNumberFormat="1" applyFont="1" applyFill="1" applyBorder="1" applyAlignment="1">
      <x:alignment horizontal="left" vertical="center" wrapText="0"/>
    </x:xf>
    <x:xf numFmtId="0" fontId="10" fillId="6" borderId="5" xfId="0" applyNumberFormat="1" applyFont="1" applyFill="1" applyBorder="1"/>
    <x:xf numFmtId="0" fontId="10" fillId="6" borderId="6" xfId="0" applyNumberFormat="1" applyFont="1" applyFill="1" applyBorder="1"/>
    <x:xf numFmtId="0" fontId="10" fillId="6" borderId="7" xfId="0" applyNumberFormat="1" applyFont="1" applyFill="1" applyBorder="1"/>
    <x:xf numFmtId="0" fontId="10" fillId="6" borderId="5" xfId="0" applyNumberFormat="1" applyFont="1" applyFill="1" applyBorder="1" applyAlignment="1">
      <x:alignment wrapText="0"/>
    </x:xf>
    <x:xf numFmtId="0" fontId="10" fillId="6" borderId="6" xfId="0" applyNumberFormat="1" applyFont="1" applyFill="1" applyBorder="1" applyAlignment="1">
      <x:alignment wrapText="0"/>
    </x:xf>
    <x:xf numFmtId="0" fontId="10" fillId="6" borderId="7" xfId="0" applyNumberFormat="1" applyFont="1" applyFill="1" applyBorder="1" applyAlignment="1">
      <x:alignment wrapText="0"/>
    </x:xf>
    <x:xf numFmtId="0" fontId="10" fillId="6" borderId="5" xfId="0" applyNumberFormat="1" applyFont="1" applyFill="1" applyBorder="1" applyAlignment="1">
      <x:alignment horizontal="left" wrapText="0"/>
    </x:xf>
    <x:xf numFmtId="0" fontId="10" fillId="6" borderId="6" xfId="0" applyNumberFormat="1" applyFont="1" applyFill="1" applyBorder="1" applyAlignment="1">
      <x:alignment horizontal="left" wrapText="0"/>
    </x:xf>
    <x:xf numFmtId="0" fontId="10" fillId="6" borderId="7" xfId="0" applyNumberFormat="1" applyFont="1" applyFill="1" applyBorder="1" applyAlignment="1">
      <x:alignment horizontal="left" wrapText="0"/>
    </x:xf>
    <x:xf numFmtId="0" fontId="10" fillId="6" borderId="5" xfId="0" applyNumberFormat="1" applyFont="1" applyFill="1" applyBorder="1" applyAlignment="1">
      <x:alignment horizontal="left" vertical="center" wrapText="0"/>
    </x:xf>
    <x:xf numFmtId="0" fontId="10" fillId="6" borderId="6" xfId="0" applyNumberFormat="1" applyFont="1" applyFill="1" applyBorder="1" applyAlignment="1">
      <x:alignment horizontal="left" vertical="center" wrapText="0"/>
    </x:xf>
    <x:xf numFmtId="0" fontId="10" fillId="6" borderId="7" xfId="0" applyNumberFormat="1" applyFont="1" applyFill="1" applyBorder="1" applyAlignment="1">
      <x:alignment horizontal="left" vertical="center" wrapText="0"/>
    </x:xf>
    <x:xf numFmtId="0" fontId="10" fillId="9" borderId="10" xfId="0" applyNumberFormat="1" applyFont="1" applyFill="1" applyBorder="1" applyAlignment="1">
      <x:alignment horizontal="left" vertical="center" wrapText="0"/>
    </x:xf>
    <x:xf numFmtId="0" fontId="10" fillId="9" borderId="12" xfId="0" applyNumberFormat="1" applyFont="1" applyFill="1" applyBorder="1" applyAlignment="1">
      <x:alignment horizontal="left" vertical="center" wrapText="0"/>
    </x:xf>
    <x:xf numFmtId="0" fontId="10" fillId="9" borderId="15" xfId="0" applyNumberFormat="1" applyFont="1" applyFill="1" applyBorder="1" applyAlignment="1">
      <x:alignment horizontal="left" vertical="center" wrapText="0"/>
    </x:xf>
    <x:xf numFmtId="0" fontId="10" fillId="9" borderId="18" xfId="0" applyNumberFormat="1" applyFont="1" applyFill="1" applyBorder="1" applyAlignment="1">
      <x:alignment horizontal="left" vertical="center" wrapText="0"/>
    </x:xf>
    <x:xf numFmtId="0" fontId="10" fillId="9" borderId="20" xfId="0" applyNumberFormat="1" applyFont="1" applyFill="1" applyBorder="1" applyAlignment="1">
      <x:alignment horizontal="left" vertical="center" wrapText="0"/>
    </x:xf>
    <x:xf numFmtId="0" fontId="10" fillId="9" borderId="23" xfId="0" applyNumberFormat="1" applyFont="1" applyFill="1" applyBorder="1" applyAlignment="1">
      <x:alignment horizontal="left" vertical="center" wrapText="0"/>
    </x:xf>
    <x:xf numFmtId="0" fontId="5" fillId="4" borderId="24" xfId="0" applyNumberFormat="1" applyFont="1" applyFill="1" applyBorder="1"/>
    <x:xf numFmtId="0" fontId="5" fillId="4" borderId="24" xfId="0" applyNumberFormat="1" applyFont="1" applyFill="1" applyBorder="1" applyAlignment="1">
      <x:alignment wrapText="1"/>
    </x:xf>
    <x:xf numFmtId="0" fontId="5" fillId="4" borderId="24" xfId="0" applyNumberFormat="1" applyFont="1" applyFill="1" applyBorder="1" applyAlignment="1">
      <x:alignment horizontal="center" wrapText="1"/>
    </x:xf>
    <x:xf numFmtId="0" fontId="5" fillId="4" borderId="24" xfId="0" applyNumberFormat="1" applyFont="1" applyFill="1" applyBorder="1" applyAlignment="1">
      <x:alignment horizontal="center" vertical="center" wrapText="1"/>
    </x:xf>
    <x:xf numFmtId="0" fontId="5" fillId="4" borderId="25" xfId="0" applyNumberFormat="1" applyFont="1" applyFill="1" applyBorder="1"/>
    <x:xf numFmtId="0" fontId="5" fillId="4" borderId="25" xfId="0" applyNumberFormat="1" applyFont="1" applyFill="1" applyBorder="1" applyAlignment="1">
      <x:alignment wrapText="1"/>
    </x:xf>
    <x:xf numFmtId="0" fontId="5" fillId="4" borderId="25" xfId="0" applyNumberFormat="1" applyFont="1" applyFill="1" applyBorder="1" applyAlignment="1">
      <x:alignment horizontal="center" wrapText="1"/>
    </x:xf>
    <x:xf numFmtId="0" fontId="5" fillId="4" borderId="2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10" fillId="9" borderId="0" xfId="0" applyNumberFormat="1" applyFont="1" applyFill="1" applyBorder="1" applyAlignment="1">
      <x:alignment horizontal="left" vertical="center" wrapText="0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 vertical="center" wrapText="0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horizontal="center" vertical="center" wrapText="0"/>
    </x:xf>
    <x:xf numFmtId="0" fontId="5" fillId="10" borderId="0" xfId="0" applyNumberFormat="1" applyFont="1" applyFill="1" applyBorder="1" applyAlignment="1">
      <x:alignment horizontal="center" vertical="center" wrapText="0"/>
    </x:xf>
    <x:xf numFmtId="0" fontId="6" fillId="10" borderId="0" xfId="0" applyNumberFormat="1" applyFont="1" applyFill="1" applyBorder="1" applyAlignment="1">
      <x:alignment horizontal="left" vertical="center" wrapText="0"/>
    </x:xf>
    <x:xf numFmtId="0" fontId="7" fillId="10" borderId="0" xfId="0" applyNumberFormat="1" applyFont="1" applyFill="1" applyBorder="1" applyAlignment="1">
      <x:alignment horizontal="center" vertical="center" wrapText="0"/>
    </x:xf>
    <x:xf numFmtId="0" fontId="11" fillId="10" borderId="0" xfId="0" applyNumberFormat="1" applyFont="1" applyFill="1" applyBorder="1"/>
    <x:xf numFmtId="0" fontId="12" fillId="10" borderId="0" xfId="0" applyNumberFormat="1" applyFont="1" applyFill="1" applyBorder="1" applyAlignment="1">
      <x:alignment horizontal="center" vertical="center" wrapText="0"/>
    </x:xf>
    <x:xf numFmtId="0" fontId="12" fillId="10" borderId="0" xfId="0" applyNumberFormat="1" applyFont="1" applyFill="1" applyBorder="1" applyAlignment="1">
      <x:alignment horizontal="center" vertical="center" wrapText="1"/>
    </x:xf>
    <x:xf numFmtId="0" fontId="11" fillId="10" borderId="0" xfId="0" applyNumberFormat="1" applyFont="1" applyFill="1" applyBorder="1" applyAlignment="1">
      <x:alignment horizontal="left" vertical="center" wrapText="0"/>
    </x:xf>
    <x:xf numFmtId="0" fontId="11" fillId="10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horizontal="center" vertical="center" wrapText="0"/>
    </x:xf>
    <x:xf numFmtId="0" fontId="11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horizontal="center" vertical="center" wrapText="1"/>
    </x:xf>
    <x:xf numFmtId="0" fontId="13" fillId="12" borderId="0" xfId="0" applyNumberFormat="1" applyFont="1" applyFill="1" applyBorder="1" applyAlignment="1">
      <x:alignment horizontal="center" vertical="center" wrapText="0"/>
    </x:xf>
    <x:xf numFmtId="0" fontId="13" fillId="12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13" fillId="12" borderId="0" xfId="0" applyNumberFormat="1" applyFont="1" applyFill="1" applyBorder="1" applyAlignment="1">
      <x:alignment horizontal="left" vertical="center" wrapText="0"/>
    </x:xf>
    <x:xf numFmtId="0" fontId="13" fillId="12" borderId="0" xfId="0" applyNumberFormat="1" applyFont="1" applyFill="1" applyBorder="1" applyAlignment="1">
      <x:alignment horizontal="left" vertical="center"/>
    </x:xf>
    <x:xf numFmtId="0" fontId="13" fillId="12" borderId="0" xfId="0" applyNumberFormat="1" applyFont="1" applyFill="1" applyBorder="1" applyAlignment="1">
      <x:alignment horizontal="left" vertical="center" wrapText="1"/>
    </x:xf>
    <x:xf numFmtId="0" fontId="12" fillId="13" borderId="0" xfId="0" applyNumberFormat="1" applyFont="1" applyFill="1" applyBorder="1" applyAlignment="1">
      <x:alignment horizontal="center" vertical="center" wrapText="1"/>
    </x:xf>
    <x:xf numFmtId="0" fontId="11" fillId="13" borderId="0" xfId="0" applyNumberFormat="1" applyFont="1" applyFill="1" applyBorder="1" applyAlignment="1">
      <x:alignment vertical="center"/>
    </x:xf>
    <x:xf numFmtId="0" fontId="14" fillId="13" borderId="0" xfId="0" applyNumberFormat="1" applyFont="1" applyFill="1" applyBorder="1" applyAlignment="1">
      <x:alignment horizontal="center" vertical="center" wrapText="1"/>
    </x:xf>
    <x:xf numFmtId="0" fontId="14" fillId="13" borderId="0" xfId="0" applyNumberFormat="1" applyFont="1" applyFill="1" applyBorder="1" applyAlignment="1">
      <x:alignment vertical="center"/>
    </x:xf>
    <x:xf numFmtId="0" fontId="14" fillId="13" borderId="0" xfId="0" applyNumberFormat="1" applyFont="1" applyFill="1" applyBorder="1" applyAlignment="1">
      <x:alignment vertical="center" wrapText="1"/>
    </x:xf>
    <x:xf numFmtId="0" fontId="14" fillId="13" borderId="0" xfId="0" applyNumberFormat="1" applyFont="1" applyFill="1" applyBorder="1" applyAlignment="1">
      <x:alignment horizontal="right" vertical="center" wrapText="1"/>
    </x:xf>
    <x:xf numFmtId="0" fontId="11" fillId="14" borderId="0" xfId="0" applyNumberFormat="1" applyFont="1" applyFill="1" applyBorder="1" applyAlignment="1">
      <x:alignment vertical="center"/>
    </x:xf>
    <x:xf numFmtId="0" fontId="12" fillId="14" borderId="0" xfId="0" applyNumberFormat="1" applyFont="1" applyFill="1" applyBorder="1" applyAlignment="1">
      <x:alignment horizontal="center" vertical="center" wrapText="1"/>
    </x:xf>
    <x:xf numFmtId="0" fontId="15" fillId="14" borderId="0" xfId="0" applyNumberFormat="1" applyFont="1" applyFill="1" applyBorder="1" applyAlignment="1">
      <x:alignment vertical="center"/>
    </x:xf>
    <x:xf numFmtId="0" fontId="15" fillId="14" borderId="0" xfId="0" applyNumberFormat="1" applyFont="1" applyFill="1" applyBorder="1" applyAlignment="1">
      <x:alignment horizontal="center" vertical="center" wrapText="1"/>
    </x:xf>
    <x:xf numFmtId="0" fontId="15" fillId="14" borderId="0" xfId="0" applyNumberFormat="1" applyFont="1" applyFill="1" applyBorder="1" applyAlignment="1">
      <x:alignment vertical="center" wrapText="1"/>
    </x:xf>
    <x:xf numFmtId="0" fontId="16" fillId="12" borderId="0" xfId="0" applyNumberFormat="1" applyFont="1" applyFill="1" applyBorder="1" applyAlignment="1">
      <x:alignment vertical="center"/>
    </x:xf>
    <x:xf numFmtId="0" fontId="16" fillId="12" borderId="0" xfId="0" applyNumberFormat="1" applyFont="1" applyFill="1" applyBorder="1" applyAlignment="1">
      <x:alignment horizontal="center" vertical="center"/>
    </x:xf>
    <x:xf numFmtId="0" fontId="12" fillId="11" borderId="0" xfId="0" applyNumberFormat="1" applyFont="1" applyFill="1" applyBorder="1" applyAlignment="1">
      <x:alignment horizontal="center" vertical="center" wrapText="0"/>
    </x:xf>
    <x:xf numFmtId="0" fontId="16" fillId="11" borderId="0" xfId="0" applyNumberFormat="1" applyFont="1" applyFill="1" applyBorder="1" applyAlignment="1">
      <x:alignment horizontal="center" vertical="center" wrapText="0"/>
    </x:xf>
    <x:xf numFmtId="0" fontId="16" fillId="11" borderId="0" xfId="0" applyNumberFormat="1" applyFont="1" applyFill="1" applyBorder="1" applyAlignment="1">
      <x:alignment vertical="center"/>
    </x:xf>
    <x:xf numFmtId="0" fontId="16" fillId="11" borderId="0" xfId="0" applyNumberFormat="1" applyFont="1" applyFill="1" applyBorder="1" applyAlignment="1">
      <x:alignment horizontal="center" vertical="center"/>
    </x:xf>
    <x:xf numFmtId="0" fontId="11" fillId="15" borderId="0" xfId="0" applyNumberFormat="1" applyFont="1" applyFill="1" applyBorder="1" applyAlignment="1">
      <x:alignment horizontal="left" vertical="center" wrapText="0"/>
    </x:xf>
    <x:xf numFmtId="0" fontId="17" fillId="15" borderId="0" xfId="0" applyNumberFormat="1" applyFont="1" applyFill="1" applyBorder="1" applyAlignment="1">
      <x:alignment horizontal="left" vertical="center" wrapText="0"/>
    </x:xf>
    <x:xf numFmtId="0" fontId="17" fillId="15" borderId="26" xfId="0" applyNumberFormat="1" applyFont="1" applyFill="1" applyBorder="1" applyAlignment="1">
      <x:alignment horizontal="left" vertical="center" wrapText="0"/>
    </x:xf>
    <x:xf numFmtId="0" fontId="17" fillId="15" borderId="27" xfId="0" applyNumberFormat="1" applyFont="1" applyFill="1" applyBorder="1" applyAlignment="1">
      <x:alignment horizontal="left" vertical="center" wrapText="0"/>
    </x:xf>
    <x:xf numFmtId="0" fontId="17" fillId="15" borderId="28" xfId="0" applyNumberFormat="1" applyFont="1" applyFill="1" applyBorder="1" applyAlignment="1">
      <x:alignment horizontal="left" vertical="center" wrapText="0"/>
    </x:xf>
    <x:xf numFmtId="0" fontId="17" fillId="15" borderId="29" xfId="0" applyNumberFormat="1" applyFont="1" applyFill="1" applyBorder="1" applyAlignment="1">
      <x:alignment horizontal="left" vertical="center" wrapText="0"/>
    </x:xf>
    <x:xf numFmtId="0" fontId="17" fillId="15" xfId="0" applyNumberFormat="1" applyFont="1" applyFill="1" applyBorder="0" applyAlignment="1">
      <x:alignment horizontal="left" vertical="center" wrapText="0"/>
    </x:xf>
    <x:xf numFmtId="0" fontId="17" fillId="15" borderId="30" xfId="0" applyNumberFormat="1" applyFont="1" applyFill="1" applyBorder="1" applyAlignment="1">
      <x:alignment horizontal="left" vertical="center" wrapText="0"/>
    </x:xf>
    <x:xf numFmtId="0" fontId="17" fillId="15" borderId="31" xfId="0" applyNumberFormat="1" applyFont="1" applyFill="1" applyBorder="1" applyAlignment="1">
      <x:alignment horizontal="left" vertical="center" wrapText="0"/>
    </x:xf>
    <x:xf numFmtId="0" fontId="17" fillId="15" borderId="32" xfId="0" applyNumberFormat="1" applyFont="1" applyFill="1" applyBorder="1" applyAlignment="1">
      <x:alignment horizontal="left" vertical="center" wrapText="0"/>
    </x:xf>
    <x:xf numFmtId="0" fontId="17" fillId="15" borderId="33" xfId="0" applyNumberFormat="1" applyFont="1" applyFill="1" applyBorder="1" applyAlignment="1">
      <x:alignment horizontal="left" vertical="center" wrapText="0"/>
    </x:xf>
    <x:xf numFmtId="0" fontId="17" fillId="15" borderId="26" xfId="0" applyNumberFormat="1" applyFont="1" applyFill="1" applyBorder="1" applyAlignment="1">
      <x:alignment horizontal="left" vertical="center" wrapText="1"/>
    </x:xf>
    <x:xf numFmtId="0" fontId="17" fillId="15" borderId="27" xfId="0" applyNumberFormat="1" applyFont="1" applyFill="1" applyBorder="1" applyAlignment="1">
      <x:alignment horizontal="left" vertical="center" wrapText="1"/>
    </x:xf>
    <x:xf numFmtId="0" fontId="17" fillId="15" borderId="28" xfId="0" applyNumberFormat="1" applyFont="1" applyFill="1" applyBorder="1" applyAlignment="1">
      <x:alignment horizontal="left" vertical="center" wrapText="1"/>
    </x:xf>
    <x:xf numFmtId="0" fontId="17" fillId="15" borderId="29" xfId="0" applyNumberFormat="1" applyFont="1" applyFill="1" applyBorder="1" applyAlignment="1">
      <x:alignment horizontal="left" vertical="center" wrapText="1"/>
    </x:xf>
    <x:xf numFmtId="0" fontId="17" fillId="15" xfId="0" applyNumberFormat="1" applyFont="1" applyFill="1" applyBorder="0" applyAlignment="1">
      <x:alignment horizontal="left" vertical="center" wrapText="1"/>
    </x:xf>
    <x:xf numFmtId="0" fontId="17" fillId="15" borderId="30" xfId="0" applyNumberFormat="1" applyFont="1" applyFill="1" applyBorder="1" applyAlignment="1">
      <x:alignment horizontal="left" vertical="center" wrapText="1"/>
    </x:xf>
    <x:xf numFmtId="0" fontId="17" fillId="15" borderId="31" xfId="0" applyNumberFormat="1" applyFont="1" applyFill="1" applyBorder="1" applyAlignment="1">
      <x:alignment horizontal="left" vertical="center" wrapText="1"/>
    </x:xf>
    <x:xf numFmtId="0" fontId="17" fillId="15" borderId="32" xfId="0" applyNumberFormat="1" applyFont="1" applyFill="1" applyBorder="1" applyAlignment="1">
      <x:alignment horizontal="left" vertical="center" wrapText="1"/>
    </x:xf>
    <x:xf numFmtId="0" fontId="17" fillId="15" borderId="33" xfId="0" applyNumberFormat="1" applyFont="1" applyFill="1" applyBorder="1" applyAlignment="1">
      <x:alignment horizontal="left" vertical="center" wrapText="1"/>
    </x:xf>
    <x:xf numFmtId="0" fontId="11" fillId="15" borderId="0" xfId="0" applyNumberFormat="1" applyFont="1" applyFill="1" applyBorder="1" applyAlignment="1">
      <x:alignment vertical="center"/>
    </x:xf>
    <x:xf numFmtId="0" fontId="17" fillId="15" borderId="0" xfId="0" applyNumberFormat="1" applyFont="1" applyFill="1" applyBorder="1" applyAlignment="1">
      <x:alignment vertical="center"/>
    </x:xf>
    <x:xf numFmtId="0" fontId="17" fillId="15" borderId="28" xfId="0" applyNumberFormat="1" applyFont="1" applyFill="1" applyBorder="1" applyAlignment="1">
      <x:alignment vertical="center"/>
    </x:xf>
    <x:xf numFmtId="0" fontId="17" fillId="15" borderId="30" xfId="0" applyNumberFormat="1" applyFont="1" applyFill="1" applyBorder="1" applyAlignment="1">
      <x:alignment vertical="center"/>
    </x:xf>
    <x:xf numFmtId="0" fontId="17" fillId="15" borderId="33" xfId="0" applyNumberFormat="1" applyFont="1" applyFill="1" applyBorder="1" applyAlignment="1">
      <x:alignment vertical="center"/>
    </x:xf>
    <x:xf numFmtId="0" fontId="17" fillId="15" borderId="28" xfId="0" applyNumberFormat="1" applyFont="1" applyFill="1" applyBorder="1" applyAlignment="1">
      <x:alignment vertical="center" wrapText="1"/>
    </x:xf>
    <x:xf numFmtId="0" fontId="17" fillId="15" borderId="30" xfId="0" applyNumberFormat="1" applyFont="1" applyFill="1" applyBorder="1" applyAlignment="1">
      <x:alignment vertical="center" wrapText="1"/>
    </x:xf>
    <x:xf numFmtId="0" fontId="17" fillId="15" borderId="33" xfId="0" applyNumberFormat="1" applyFont="1" applyFill="1" applyBorder="1" applyAlignment="1">
      <x:alignment vertical="center" wrapText="1"/>
    </x:xf>
    <x:xf numFmtId="0" fontId="17" fillId="11" borderId="26" xfId="0" applyNumberFormat="1" applyFont="1" applyFill="1" applyBorder="1" applyAlignment="1">
      <x:alignment horizontal="left" vertical="center" wrapText="1"/>
    </x:xf>
    <x:xf numFmtId="0" fontId="17" fillId="11" borderId="29" xfId="0" applyNumberFormat="1" applyFont="1" applyFill="1" applyBorder="1" applyAlignment="1">
      <x:alignment horizontal="left" vertical="center" wrapText="1"/>
    </x:xf>
    <x:xf numFmtId="0" fontId="17" fillId="11" borderId="31" xfId="0" applyNumberFormat="1" applyFont="1" applyFill="1" applyBorder="1" applyAlignment="1">
      <x:alignment horizontal="left" vertical="center" wrapText="1"/>
    </x:xf>
    <x:xf numFmtId="0" fontId="18" fillId="11" borderId="26" xfId="0" applyNumberFormat="1" applyFont="1" applyFill="1" applyBorder="1" applyAlignment="1">
      <x:alignment horizontal="left" vertical="center" wrapText="1"/>
    </x:xf>
    <x:xf numFmtId="0" fontId="18" fillId="11" borderId="29" xfId="0" applyNumberFormat="1" applyFont="1" applyFill="1" applyBorder="1" applyAlignment="1">
      <x:alignment horizontal="left" vertical="center" wrapText="1"/>
    </x:xf>
    <x:xf numFmtId="0" fontId="18" fillId="11" borderId="31" xfId="0" applyNumberFormat="1" applyFont="1" applyFill="1" applyBorder="1" applyAlignment="1">
      <x:alignment horizontal="left" vertical="center" wrapText="1"/>
    </x:xf>
    <x:xf numFmtId="0" fontId="18" fillId="11" borderId="26" xfId="0" applyNumberFormat="1" applyFont="1" applyFill="1" applyBorder="1" applyAlignment="1">
      <x:alignment horizontal="center" vertical="center" wrapText="1"/>
    </x:xf>
    <x:xf numFmtId="0" fontId="18" fillId="11" borderId="29" xfId="0" applyNumberFormat="1" applyFont="1" applyFill="1" applyBorder="1" applyAlignment="1">
      <x:alignment horizontal="center" vertical="center" wrapText="1"/>
    </x:xf>
    <x:xf numFmtId="0" fontId="18" fillId="11" borderId="31" xfId="0" applyNumberFormat="1" applyFont="1" applyFill="1" applyBorder="1" applyAlignment="1">
      <x:alignment horizontal="center" vertical="center" wrapText="1"/>
    </x:xf>
    <x:xf numFmtId="0" fontId="17" fillId="16" borderId="26" xfId="0" applyNumberFormat="1" applyFont="1" applyFill="1" applyBorder="1" applyAlignment="1">
      <x:alignment horizontal="left" vertical="center" wrapText="1"/>
    </x:xf>
    <x:xf numFmtId="0" fontId="17" fillId="16" borderId="29" xfId="0" applyNumberFormat="1" applyFont="1" applyFill="1" applyBorder="1" applyAlignment="1">
      <x:alignment horizontal="left" vertical="center" wrapText="1"/>
    </x:xf>
    <x:xf numFmtId="0" fontId="17" fillId="16" borderId="31" xfId="0" applyNumberFormat="1" applyFont="1" applyFill="1" applyBorder="1" applyAlignment="1">
      <x:alignment horizontal="left" vertical="center" wrapText="1"/>
    </x:xf>
    <x:xf numFmtId="0" fontId="18" fillId="16" borderId="26" xfId="0" applyNumberFormat="1" applyFont="1" applyFill="1" applyBorder="1" applyAlignment="1">
      <x:alignment horizontal="left" vertical="center" wrapText="1"/>
    </x:xf>
    <x:xf numFmtId="0" fontId="18" fillId="16" borderId="29" xfId="0" applyNumberFormat="1" applyFont="1" applyFill="1" applyBorder="1" applyAlignment="1">
      <x:alignment horizontal="left" vertical="center" wrapText="1"/>
    </x:xf>
    <x:xf numFmtId="0" fontId="18" fillId="16" borderId="31" xfId="0" applyNumberFormat="1" applyFont="1" applyFill="1" applyBorder="1" applyAlignment="1">
      <x:alignment horizontal="left" vertical="center" wrapText="1"/>
    </x:xf>
    <x:xf numFmtId="0" fontId="18" fillId="16" borderId="26" xfId="0" applyNumberFormat="1" applyFont="1" applyFill="1" applyBorder="1" applyAlignment="1">
      <x:alignment horizontal="center" vertical="center" wrapText="1"/>
    </x:xf>
    <x:xf numFmtId="0" fontId="18" fillId="16" borderId="29" xfId="0" applyNumberFormat="1" applyFont="1" applyFill="1" applyBorder="1" applyAlignment="1">
      <x:alignment horizontal="center" vertical="center" wrapText="1"/>
    </x:xf>
    <x:xf numFmtId="0" fontId="18" fillId="16" borderId="31" xfId="0" applyNumberFormat="1" applyFont="1" applyFill="1" applyBorder="1" applyAlignment="1">
      <x:alignment horizontal="center" vertical="center" wrapText="1"/>
    </x:xf>
    <x:xf numFmtId="0" fontId="12" fillId="15" borderId="0" xfId="0" applyNumberFormat="1" applyFont="1" applyFill="1" applyBorder="1" applyAlignment="1">
      <x:alignment horizontal="center" vertical="center" wrapText="0"/>
    </x:xf>
    <x:xf numFmtId="0" fontId="19" fillId="15" borderId="0" xfId="0" applyNumberFormat="1" applyFont="1" applyFill="1" applyBorder="1" applyAlignment="1">
      <x:alignment horizontal="center" vertical="center" wrapText="0"/>
    </x:xf>
    <x:xf numFmtId="0" fontId="17" fillId="15" borderId="26" xfId="0" applyNumberFormat="1" applyFont="1" applyFill="1" applyBorder="1" applyAlignment="1">
      <x:alignment vertical="center"/>
    </x:xf>
    <x:xf numFmtId="0" fontId="17" fillId="15" borderId="27" xfId="0" applyNumberFormat="1" applyFont="1" applyFill="1" applyBorder="1" applyAlignment="1">
      <x:alignment vertical="center"/>
    </x:xf>
    <x:xf numFmtId="0" fontId="19" fillId="15" borderId="29" xfId="0" applyNumberFormat="1" applyFont="1" applyFill="1" applyBorder="1" applyAlignment="1">
      <x:alignment horizontal="center" vertical="center" wrapText="0"/>
    </x:xf>
    <x:xf numFmtId="0" fontId="19" fillId="15" xfId="0" applyNumberFormat="1" applyFont="1" applyFill="1" applyBorder="0" applyAlignment="1">
      <x:alignment horizontal="center" vertical="center" wrapText="0"/>
    </x:xf>
    <x:xf numFmtId="0" fontId="19" fillId="15" borderId="30" xfId="0" applyNumberFormat="1" applyFont="1" applyFill="1" applyBorder="1" applyAlignment="1">
      <x:alignment horizontal="center" vertical="center" wrapText="0"/>
    </x:xf>
    <x:xf numFmtId="0" fontId="17" fillId="15" borderId="31" xfId="0" applyNumberFormat="1" applyFont="1" applyFill="1" applyBorder="1" applyAlignment="1">
      <x:alignment vertical="center"/>
    </x:xf>
    <x:xf numFmtId="0" fontId="17" fillId="15" borderId="32" xfId="0" applyNumberFormat="1" applyFont="1" applyFill="1" applyBorder="1" applyAlignment="1">
      <x:alignment vertical="center"/>
    </x:xf>
    <x:xf numFmtId="0" fontId="17" fillId="15" borderId="26" xfId="0" applyNumberFormat="1" applyFont="1" applyFill="1" applyBorder="1" applyAlignment="1">
      <x:alignment vertical="center" wrapText="1"/>
    </x:xf>
    <x:xf numFmtId="0" fontId="17" fillId="15" borderId="27" xfId="0" applyNumberFormat="1" applyFont="1" applyFill="1" applyBorder="1" applyAlignment="1">
      <x:alignment vertical="center" wrapText="1"/>
    </x:xf>
    <x:xf numFmtId="0" fontId="19" fillId="15" borderId="29" xfId="0" applyNumberFormat="1" applyFont="1" applyFill="1" applyBorder="1" applyAlignment="1">
      <x:alignment horizontal="center" vertical="center" wrapText="1"/>
    </x:xf>
    <x:xf numFmtId="0" fontId="19" fillId="15" xfId="0" applyNumberFormat="1" applyFont="1" applyFill="1" applyBorder="0" applyAlignment="1">
      <x:alignment horizontal="center" vertical="center" wrapText="1"/>
    </x:xf>
    <x:xf numFmtId="0" fontId="19" fillId="15" borderId="30" xfId="0" applyNumberFormat="1" applyFont="1" applyFill="1" applyBorder="1" applyAlignment="1">
      <x:alignment horizontal="center" vertical="center" wrapText="1"/>
    </x:xf>
    <x:xf numFmtId="0" fontId="17" fillId="15" borderId="31" xfId="0" applyNumberFormat="1" applyFont="1" applyFill="1" applyBorder="1" applyAlignment="1">
      <x:alignment vertical="center" wrapText="1"/>
    </x:xf>
    <x:xf numFmtId="0" fontId="17" fillId="15" borderId="32" xfId="0" applyNumberFormat="1" applyFont="1" applyFill="1" applyBorder="1" applyAlignment="1">
      <x:alignment vertical="center" wrapText="1"/>
    </x:xf>
    <x:xf numFmtId="0" fontId="17" fillId="17" borderId="26" xfId="0" applyNumberFormat="1" applyFont="1" applyFill="1" applyBorder="1" applyAlignment="1">
      <x:alignment vertical="center" wrapText="1"/>
    </x:xf>
    <x:xf numFmtId="0" fontId="19" fillId="17" borderId="29" xfId="0" applyNumberFormat="1" applyFont="1" applyFill="1" applyBorder="1" applyAlignment="1">
      <x:alignment horizontal="center" vertical="center" wrapText="1"/>
    </x:xf>
    <x:xf numFmtId="0" fontId="17" fillId="17" borderId="31" xfId="0" applyNumberFormat="1" applyFont="1" applyFill="1" applyBorder="1" applyAlignment="1">
      <x:alignment vertical="center" wrapText="1"/>
    </x:xf>
    <x:xf numFmtId="0" fontId="18" fillId="17" borderId="26" xfId="0" applyNumberFormat="1" applyFont="1" applyFill="1" applyBorder="1" applyAlignment="1">
      <x:alignment vertical="center" wrapText="1"/>
    </x:xf>
    <x:xf numFmtId="0" fontId="18" fillId="17" borderId="29" xfId="0" applyNumberFormat="1" applyFont="1" applyFill="1" applyBorder="1" applyAlignment="1">
      <x:alignment horizontal="center" vertical="center" wrapText="1"/>
    </x:xf>
    <x:xf numFmtId="0" fontId="18" fillId="17" borderId="31" xfId="0" applyNumberFormat="1" applyFont="1" applyFill="1" applyBorder="1" applyAlignment="1">
      <x:alignment vertical="center" wrapText="1"/>
    </x:xf>
    <x:xf numFmtId="0" fontId="18" fillId="17" borderId="26" xfId="0" applyNumberFormat="1" applyFont="1" applyFill="1" applyBorder="1" applyAlignment="1">
      <x:alignment horizontal="center" vertical="center" wrapText="1"/>
    </x:xf>
    <x:xf numFmtId="0" fontId="18" fillId="17" borderId="31" xfId="0" applyNumberFormat="1" applyFont="1" applyFill="1" applyBorder="1" applyAlignment="1">
      <x:alignment horizontal="center" vertical="center" wrapText="1"/>
    </x:xf>
    <x:xf numFmtId="0" fontId="17" fillId="12" borderId="26" xfId="0" applyNumberFormat="1" applyFont="1" applyFill="1" applyBorder="1" applyAlignment="1">
      <x:alignment vertical="center" wrapText="1"/>
    </x:xf>
    <x:xf numFmtId="0" fontId="19" fillId="12" borderId="29" xfId="0" applyNumberFormat="1" applyFont="1" applyFill="1" applyBorder="1" applyAlignment="1">
      <x:alignment horizontal="center" vertical="center" wrapText="1"/>
    </x:xf>
    <x:xf numFmtId="0" fontId="17" fillId="12" borderId="31" xfId="0" applyNumberFormat="1" applyFont="1" applyFill="1" applyBorder="1" applyAlignment="1">
      <x:alignment vertical="center" wrapText="1"/>
    </x:xf>
    <x:xf numFmtId="0" fontId="18" fillId="12" borderId="26" xfId="0" applyNumberFormat="1" applyFont="1" applyFill="1" applyBorder="1" applyAlignment="1">
      <x:alignment vertical="center" wrapText="1"/>
    </x:xf>
    <x:xf numFmtId="0" fontId="18" fillId="12" borderId="29" xfId="0" applyNumberFormat="1" applyFont="1" applyFill="1" applyBorder="1" applyAlignment="1">
      <x:alignment horizontal="center" vertical="center" wrapText="1"/>
    </x:xf>
    <x:xf numFmtId="0" fontId="18" fillId="12" borderId="31" xfId="0" applyNumberFormat="1" applyFont="1" applyFill="1" applyBorder="1" applyAlignment="1">
      <x:alignment vertical="center" wrapText="1"/>
    </x:xf>
    <x:xf numFmtId="0" fontId="18" fillId="12" borderId="26" xfId="0" applyNumberFormat="1" applyFont="1" applyFill="1" applyBorder="1" applyAlignment="1">
      <x:alignment horizontal="center" vertical="center" wrapText="1"/>
    </x:xf>
    <x:xf numFmtId="0" fontId="18" fillId="12" borderId="31" xfId="0" applyNumberFormat="1" applyFont="1" applyFill="1" applyBorder="1" applyAlignment="1">
      <x:alignment horizontal="center" vertical="center" wrapText="1"/>
    </x:xf>
    <x:xf numFmtId="0" fontId="20" fillId="10" borderId="0" xfId="0" applyNumberFormat="1" applyFont="1" applyFill="1" applyBorder="1" applyAlignment="1">
      <x:alignment vertical="center"/>
    </x:xf>
    <x:xf numFmtId="0" fontId="20" fillId="10" borderId="0" xfId="0" applyNumberFormat="1" applyFont="1" applyFill="1" applyBorder="1" applyAlignment="1">
      <x:alignment horizontal="center" vertical="center"/>
    </x:xf>
    <x:xf numFmtId="0" fontId="8" fillId="10" borderId="0" xfId="0" applyNumberFormat="1" applyFont="1" applyFill="1" applyBorder="1" applyAlignment="1">
      <x:alignment horizontal="left" vertical="center" wrapText="0"/>
    </x:xf>
    <x:xf numFmtId="0" fontId="5" fillId="10" borderId="0" xfId="0" applyNumberFormat="1" applyFont="1" applyFill="1" applyBorder="1" applyAlignment="1">
      <x:alignment horizontal="left" vertical="center" wrapText="0"/>
    </x:xf>
    <x:xf numFmtId="0" fontId="5" fillId="10" borderId="2" xfId="0" applyNumberFormat="1" applyFont="1" applyFill="1" applyBorder="1" applyAlignment="1">
      <x:alignment horizontal="center" vertical="center" wrapText="1"/>
    </x:xf>
    <x:xf numFmtId="0" fontId="5" fillId="10" borderId="3" xfId="0" applyNumberFormat="1" applyFont="1" applyFill="1" applyBorder="1" applyAlignment="1">
      <x:alignment horizontal="center" vertical="center" wrapText="1"/>
    </x:xf>
    <x:xf numFmtId="0" fontId="5" fillId="10" borderId="4" xfId="0" applyNumberFormat="1" applyFont="1" applyFill="1" applyBorder="1" applyAlignment="1">
      <x:alignment horizontal="center" vertical="center" wrapText="1"/>
    </x:xf>
    <x:xf numFmtId="0" fontId="6" fillId="10" borderId="8" xfId="0" applyNumberFormat="1" applyFont="1" applyFill="1" applyBorder="1" applyAlignment="1">
      <x:alignment horizontal="left" vertical="center" wrapText="1"/>
    </x:xf>
    <x:xf numFmtId="0" fontId="6" fillId="10" borderId="9" xfId="0" applyNumberFormat="1" applyFont="1" applyFill="1" applyBorder="1" applyAlignment="1">
      <x:alignment horizontal="left" vertical="center" wrapText="1"/>
    </x:xf>
    <x:xf numFmtId="0" fontId="9" fillId="10" borderId="9" xfId="0" applyNumberFormat="1" applyFont="1" applyFill="1" applyBorder="1" applyAlignment="1">
      <x:alignment horizontal="left" vertical="center" wrapText="1"/>
    </x:xf>
    <x:xf numFmtId="0" fontId="6" fillId="10" borderId="10" xfId="0" applyNumberFormat="1" applyFont="1" applyFill="1" applyBorder="1" applyAlignment="1">
      <x:alignment horizontal="left" vertical="center" wrapText="1"/>
    </x:xf>
    <x:xf numFmtId="0" fontId="6" fillId="10" borderId="11" xfId="0" applyNumberFormat="1" applyFont="1" applyFill="1" applyBorder="1" applyAlignment="1">
      <x:alignment horizontal="left" vertical="center" wrapText="1"/>
    </x:xf>
    <x:xf numFmtId="0" fontId="6" fillId="10" borderId="0" xfId="0" applyNumberFormat="1" applyFont="1" applyFill="1" applyBorder="1" applyAlignment="1">
      <x:alignment horizontal="left" vertical="center" wrapText="1"/>
    </x:xf>
    <x:xf numFmtId="0" fontId="9" fillId="10" borderId="0" xfId="0" applyNumberFormat="1" applyFont="1" applyFill="1" applyBorder="1" applyAlignment="1">
      <x:alignment horizontal="left" vertical="center" wrapText="1"/>
    </x:xf>
    <x:xf numFmtId="0" fontId="6" fillId="10" borderId="12" xfId="0" applyNumberFormat="1" applyFont="1" applyFill="1" applyBorder="1" applyAlignment="1">
      <x:alignment horizontal="left" vertical="center" wrapText="1"/>
    </x:xf>
    <x:xf numFmtId="0" fontId="6" fillId="10" borderId="13" xfId="0" applyNumberFormat="1" applyFont="1" applyFill="1" applyBorder="1" applyAlignment="1">
      <x:alignment horizontal="left" vertical="center" wrapText="1"/>
    </x:xf>
    <x:xf numFmtId="0" fontId="6" fillId="10" borderId="14" xfId="0" applyNumberFormat="1" applyFont="1" applyFill="1" applyBorder="1" applyAlignment="1">
      <x:alignment horizontal="left" vertical="center" wrapText="1"/>
    </x:xf>
    <x:xf numFmtId="0" fontId="9" fillId="10" borderId="14" xfId="0" applyNumberFormat="1" applyFont="1" applyFill="1" applyBorder="1" applyAlignment="1">
      <x:alignment horizontal="left" vertical="center" wrapText="1"/>
    </x:xf>
    <x:xf numFmtId="0" fontId="6" fillId="10" borderId="15" xfId="0" applyNumberFormat="1" applyFont="1" applyFill="1" applyBorder="1" applyAlignment="1">
      <x:alignment horizontal="left" vertical="center" wrapText="1"/>
    </x:xf>
    <x:xf numFmtId="0" fontId="12" fillId="10" borderId="0" xfId="0" applyNumberFormat="1" applyFont="1" applyFill="1" applyBorder="1" applyAlignment="1">
      <x:alignment horizontal="left" vertical="center" wrapText="0"/>
    </x:xf>
    <x:xf numFmtId="0" fontId="12" fillId="10" borderId="2" xfId="0" applyNumberFormat="1" applyFont="1" applyFill="1" applyBorder="1" applyAlignment="1">
      <x:alignment horizontal="center" vertical="center" wrapText="1"/>
    </x:xf>
    <x:xf numFmtId="0" fontId="12" fillId="10" borderId="3" xfId="0" applyNumberFormat="1" applyFont="1" applyFill="1" applyBorder="1" applyAlignment="1">
      <x:alignment horizontal="center" vertical="center" wrapText="1"/>
    </x:xf>
    <x:xf numFmtId="0" fontId="12" fillId="10" borderId="4" xfId="0" applyNumberFormat="1" applyFont="1" applyFill="1" applyBorder="1" applyAlignment="1">
      <x:alignment horizontal="center" vertical="center" wrapText="1"/>
    </x:xf>
    <x:xf numFmtId="0" fontId="11" fillId="10" borderId="8" xfId="0" applyNumberFormat="1" applyFont="1" applyFill="1" applyBorder="1" applyAlignment="1">
      <x:alignment horizontal="left" vertical="center" wrapText="1"/>
    </x:xf>
    <x:xf numFmtId="0" fontId="11" fillId="10" borderId="9" xfId="0" applyNumberFormat="1" applyFont="1" applyFill="1" applyBorder="1" applyAlignment="1">
      <x:alignment horizontal="left" vertical="center" wrapText="1"/>
    </x:xf>
    <x:xf numFmtId="0" fontId="12" fillId="10" borderId="9" xfId="0" applyNumberFormat="1" applyFont="1" applyFill="1" applyBorder="1" applyAlignment="1">
      <x:alignment horizontal="left" vertical="center" wrapText="1"/>
    </x:xf>
    <x:xf numFmtId="0" fontId="11" fillId="10" borderId="10" xfId="0" applyNumberFormat="1" applyFont="1" applyFill="1" applyBorder="1" applyAlignment="1">
      <x:alignment horizontal="left" vertical="center" wrapText="1"/>
    </x:xf>
    <x:xf numFmtId="0" fontId="11" fillId="10" borderId="11" xfId="0" applyNumberFormat="1" applyFont="1" applyFill="1" applyBorder="1" applyAlignment="1">
      <x:alignment horizontal="left" vertical="center" wrapText="1"/>
    </x:xf>
    <x:xf numFmtId="0" fontId="11" fillId="10" borderId="0" xfId="0" applyNumberFormat="1" applyFont="1" applyFill="1" applyBorder="1" applyAlignment="1">
      <x:alignment horizontal="left" vertical="center" wrapText="1"/>
    </x:xf>
    <x:xf numFmtId="0" fontId="12" fillId="10" borderId="0" xfId="0" applyNumberFormat="1" applyFont="1" applyFill="1" applyBorder="1" applyAlignment="1">
      <x:alignment horizontal="left" vertical="center" wrapText="1"/>
    </x:xf>
    <x:xf numFmtId="0" fontId="11" fillId="10" borderId="12" xfId="0" applyNumberFormat="1" applyFont="1" applyFill="1" applyBorder="1" applyAlignment="1">
      <x:alignment horizontal="left" vertical="center" wrapText="1"/>
    </x:xf>
    <x:xf numFmtId="0" fontId="11" fillId="10" borderId="13" xfId="0" applyNumberFormat="1" applyFont="1" applyFill="1" applyBorder="1" applyAlignment="1">
      <x:alignment horizontal="left" vertical="center" wrapText="1"/>
    </x:xf>
    <x:xf numFmtId="0" fontId="11" fillId="10" borderId="14" xfId="0" applyNumberFormat="1" applyFont="1" applyFill="1" applyBorder="1" applyAlignment="1">
      <x:alignment horizontal="left" vertical="center" wrapText="1"/>
    </x:xf>
    <x:xf numFmtId="0" fontId="12" fillId="10" borderId="14" xfId="0" applyNumberFormat="1" applyFont="1" applyFill="1" applyBorder="1" applyAlignment="1">
      <x:alignment horizontal="left" vertical="center" wrapText="1"/>
    </x:xf>
    <x:xf numFmtId="0" fontId="11" fillId="10" borderId="15" xfId="0" applyNumberFormat="1" applyFont="1" applyFill="1" applyBorder="1" applyAlignment="1">
      <x:alignment horizontal="left" vertical="center" wrapText="1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12" fillId="12" borderId="0" xfId="0" applyNumberFormat="1" applyFont="1" applyFill="1" applyBorder="1" applyAlignment="1">
      <x:alignment horizontal="left" vertical="center" wrapText="0"/>
    </x:xf>
    <x:xf numFmtId="0" fontId="21" fillId="12" borderId="0" xfId="0" applyNumberFormat="1" applyFont="1" applyFill="1" applyBorder="1" applyAlignment="1">
      <x:alignment horizontal="left" vertical="center" wrapText="0"/>
    </x:xf>
    <x:xf numFmtId="0" fontId="12" fillId="13" borderId="0" xfId="0" applyNumberFormat="1" applyFont="1" applyFill="1" applyBorder="1" applyAlignment="1">
      <x:alignment horizontal="left" vertical="center" wrapText="0"/>
    </x:xf>
    <x:xf numFmtId="0" fontId="14" fillId="13" borderId="0" xfId="0" applyNumberFormat="1" applyFont="1" applyFill="1" applyBorder="1" applyAlignment="1">
      <x:alignment horizontal="left" vertical="center" wrapText="0"/>
    </x:xf>
    <x:xf numFmtId="0" fontId="14" fillId="13" borderId="0" xfId="0" applyNumberFormat="1" applyFont="1" applyFill="1" applyBorder="1" applyAlignment="1">
      <x:alignment horizontal="left" vertical="center" wrapText="1"/>
    </x:xf>
    <x:xf numFmtId="0" fontId="12" fillId="14" borderId="2" xfId="0" applyNumberFormat="1" applyFont="1" applyFill="1" applyBorder="1" applyAlignment="1">
      <x:alignment horizontal="center" vertical="center" wrapText="1"/>
    </x:xf>
    <x:xf numFmtId="0" fontId="12" fillId="14" borderId="3" xfId="0" applyNumberFormat="1" applyFont="1" applyFill="1" applyBorder="1" applyAlignment="1">
      <x:alignment horizontal="center" vertical="center" wrapText="1"/>
    </x:xf>
    <x:xf numFmtId="0" fontId="12" fillId="14" borderId="4" xfId="0" applyNumberFormat="1" applyFont="1" applyFill="1" applyBorder="1" applyAlignment="1">
      <x:alignment horizontal="center" vertical="center" wrapText="1"/>
    </x:xf>
    <x:xf numFmtId="0" fontId="22" fillId="14" borderId="0" xfId="0" applyNumberFormat="1" applyFont="1" applyFill="1" applyBorder="1" applyAlignment="1">
      <x:alignment vertical="center"/>
    </x:xf>
    <x:xf numFmtId="0" fontId="22" fillId="14" borderId="2" xfId="0" applyNumberFormat="1" applyFont="1" applyFill="1" applyBorder="1" applyAlignment="1">
      <x:alignment horizontal="center" vertical="center" wrapText="1"/>
    </x:xf>
    <x:xf numFmtId="0" fontId="22" fillId="14" borderId="3" xfId="0" applyNumberFormat="1" applyFont="1" applyFill="1" applyBorder="1" applyAlignment="1">
      <x:alignment horizontal="center" vertical="center" wrapText="1"/>
    </x:xf>
    <x:xf numFmtId="0" fontId="22" fillId="14" borderId="4" xfId="0" applyNumberFormat="1" applyFont="1" applyFill="1" applyBorder="1" applyAlignment="1">
      <x:alignment horizontal="center" vertical="center" wrapText="1"/>
    </x:xf>
    <x:xf numFmtId="0" fontId="22" fillId="14" borderId="34" xfId="0" applyNumberFormat="1" applyFont="1" applyFill="1" applyBorder="1" applyAlignment="1">
      <x:alignment vertical="center"/>
    </x:xf>
    <x:xf numFmtId="0" fontId="22" fillId="14" xfId="0" applyNumberFormat="1" applyFont="1" applyFill="1" applyBorder="0" applyAlignment="1">
      <x:alignment vertical="center"/>
    </x:xf>
    <x:xf numFmtId="0" fontId="22" fillId="14" borderId="35" xfId="0" applyNumberFormat="1" applyFont="1" applyFill="1" applyBorder="1" applyAlignment="1">
      <x:alignment horizontal="center" vertical="center" wrapText="1"/>
    </x:xf>
    <x:xf numFmtId="0" fontId="22" fillId="14" borderId="34" xfId="0" applyNumberFormat="1" applyFont="1" applyFill="1" applyBorder="1" applyAlignment="1">
      <x:alignment vertical="center" wrapText="1"/>
    </x:xf>
    <x:xf numFmtId="0" fontId="22" fillId="14" xfId="0" applyNumberFormat="1" applyFont="1" applyFill="1" applyBorder="0" applyAlignment="1">
      <x:alignment vertical="center" wrapText="1"/>
    </x:xf>
    <x:xf numFmtId="0" fontId="22" fillId="14" borderId="34" xfId="0" applyNumberFormat="1" applyFont="1" applyFill="1" applyBorder="1" applyAlignment="1">
      <x:alignment horizontal="left" vertical="center" wrapText="1"/>
    </x:xf>
    <x:xf numFmtId="0" fontId="22" fillId="14" xfId="0" applyNumberFormat="1" applyFont="1" applyFill="1" applyBorder="0" applyAlignment="1">
      <x:alignment horizontal="left" vertical="center" wrapText="1"/>
    </x:xf>
    <x:xf numFmtId="0" fontId="22" fillId="14" borderId="35" xfId="0" applyNumberFormat="1" applyFont="1" applyFill="1" applyBorder="1" applyAlignment="1">
      <x:alignment horizontal="left" vertical="center" wrapText="1"/>
    </x:xf>
    <x:xf numFmtId="0" fontId="22" fillId="14" borderId="3" xfId="0" applyNumberFormat="1" applyFont="1" applyFill="1" applyBorder="1" applyAlignment="1">
      <x:alignment horizontal="left" vertical="center" wrapText="1"/>
    </x:xf>
    <x:xf numFmtId="0" fontId="22" fillId="14" borderId="4" xfId="0" applyNumberFormat="1" applyFont="1" applyFill="1" applyBorder="1" applyAlignment="1">
      <x:alignment horizontal="left" vertical="center" wrapText="1"/>
    </x:xf>
    <x:xf numFmtId="0" fontId="22" fillId="14" borderId="0" xfId="0" applyNumberFormat="1" applyFont="1" applyFill="1" applyBorder="1" applyAlignment="1">
      <x:alignment horizontal="center" vertical="center" wrapText="1"/>
    </x:xf>
    <x:xf numFmtId="0" fontId="22" fillId="14" borderId="34" xfId="0" applyNumberFormat="1" applyFont="1" applyFill="1" applyBorder="1" applyAlignment="1">
      <x:alignment horizontal="center" vertical="center" wrapText="1"/>
    </x:xf>
    <x:xf numFmtId="0" fontId="22" fillId="14" borderId="0" xfId="0" applyNumberFormat="1" applyFont="1" applyFill="1" applyBorder="1" applyAlignment="1">
      <x:alignment horizontal="left" vertical="center" wrapText="1"/>
    </x:xf>
    <x:xf numFmtId="0" fontId="11" fillId="13" borderId="8" xfId="0" applyNumberFormat="1" applyFont="1" applyFill="1" applyBorder="1" applyAlignment="1">
      <x:alignment horizontal="left" vertical="center" wrapText="1"/>
    </x:xf>
    <x:xf numFmtId="0" fontId="11" fillId="13" borderId="9" xfId="0" applyNumberFormat="1" applyFont="1" applyFill="1" applyBorder="1" applyAlignment="1">
      <x:alignment horizontal="left" vertical="center" wrapText="1"/>
    </x:xf>
    <x:xf numFmtId="0" fontId="12" fillId="13" borderId="9" xfId="0" applyNumberFormat="1" applyFont="1" applyFill="1" applyBorder="1" applyAlignment="1">
      <x:alignment horizontal="left" vertical="center" wrapText="1"/>
    </x:xf>
    <x:xf numFmtId="0" fontId="11" fillId="13" borderId="10" xfId="0" applyNumberFormat="1" applyFont="1" applyFill="1" applyBorder="1" applyAlignment="1">
      <x:alignment horizontal="left" vertical="center" wrapText="1"/>
    </x:xf>
    <x:xf numFmtId="0" fontId="11" fillId="13" borderId="11" xfId="0" applyNumberFormat="1" applyFont="1" applyFill="1" applyBorder="1" applyAlignment="1">
      <x:alignment horizontal="left" vertical="center" wrapText="1"/>
    </x:xf>
    <x:xf numFmtId="0" fontId="11" fillId="13" borderId="0" xfId="0" applyNumberFormat="1" applyFont="1" applyFill="1" applyBorder="1" applyAlignment="1">
      <x:alignment horizontal="left" vertical="center" wrapText="1"/>
    </x:xf>
    <x:xf numFmtId="0" fontId="12" fillId="13" borderId="0" xfId="0" applyNumberFormat="1" applyFont="1" applyFill="1" applyBorder="1" applyAlignment="1">
      <x:alignment horizontal="left" vertical="center" wrapText="1"/>
    </x:xf>
    <x:xf numFmtId="0" fontId="11" fillId="13" borderId="12" xfId="0" applyNumberFormat="1" applyFont="1" applyFill="1" applyBorder="1" applyAlignment="1">
      <x:alignment horizontal="left" vertical="center" wrapText="1"/>
    </x:xf>
    <x:xf numFmtId="0" fontId="23" fillId="13" borderId="8" xfId="0" applyNumberFormat="1" applyFont="1" applyFill="1" applyBorder="1" applyAlignment="1">
      <x:alignment horizontal="left" vertical="center" wrapText="1"/>
    </x:xf>
    <x:xf numFmtId="0" fontId="23" fillId="13" borderId="9" xfId="0" applyNumberFormat="1" applyFont="1" applyFill="1" applyBorder="1" applyAlignment="1">
      <x:alignment horizontal="left" vertical="center" wrapText="1"/>
    </x:xf>
    <x:xf numFmtId="0" fontId="23" fillId="13" borderId="10" xfId="0" applyNumberFormat="1" applyFont="1" applyFill="1" applyBorder="1" applyAlignment="1">
      <x:alignment horizontal="left" vertical="center" wrapText="1"/>
    </x:xf>
    <x:xf numFmtId="0" fontId="23" fillId="13" borderId="0" xfId="0" applyNumberFormat="1" applyFont="1" applyFill="1" applyBorder="1" applyAlignment="1">
      <x:alignment vertical="center"/>
    </x:xf>
    <x:xf numFmtId="0" fontId="23" fillId="13" borderId="11" xfId="0" applyNumberFormat="1" applyFont="1" applyFill="1" applyBorder="1" applyAlignment="1">
      <x:alignment horizontal="left" vertical="center" wrapText="1"/>
    </x:xf>
    <x:xf numFmtId="0" fontId="23" fillId="13" borderId="0" xfId="0" applyNumberFormat="1" applyFont="1" applyFill="1" applyBorder="1" applyAlignment="1">
      <x:alignment horizontal="left" vertical="center" wrapText="1"/>
    </x:xf>
    <x:xf numFmtId="0" fontId="23" fillId="13" borderId="12" xfId="0" applyNumberFormat="1" applyFont="1" applyFill="1" applyBorder="1" applyAlignment="1">
      <x:alignment horizontal="left" vertical="center" wrapText="1"/>
    </x:xf>
    <x:xf numFmtId="0" fontId="23" fillId="13" borderId="9" xfId="0" applyNumberFormat="1" applyFont="1" applyFill="1" applyBorder="1" applyAlignment="1">
      <x:alignment vertical="center"/>
    </x:xf>
    <x:xf numFmtId="0" fontId="23" fillId="13" borderId="36" xfId="0" applyNumberFormat="1" applyFont="1" applyFill="1" applyBorder="1" applyAlignment="1">
      <x:alignment vertical="center"/>
    </x:xf>
    <x:xf numFmtId="0" fontId="23" fillId="13" xfId="0" applyNumberFormat="1" applyFont="1" applyFill="1" applyBorder="0" applyAlignment="1">
      <x:alignment horizontal="left" vertical="center" wrapText="1"/>
    </x:xf>
    <x:xf numFmtId="0" fontId="23" fillId="13" xfId="0" applyNumberFormat="1" applyFont="1" applyFill="1" applyBorder="0" applyAlignment="1">
      <x:alignment vertical="center"/>
    </x:xf>
    <x:xf numFmtId="0" fontId="23" fillId="13" borderId="37" xfId="0" applyNumberFormat="1" applyFont="1" applyFill="1" applyBorder="1" applyAlignment="1">
      <x:alignment vertical="center"/>
    </x:xf>
    <x:xf numFmtId="0" fontId="23" fillId="13" borderId="9" xfId="0" applyNumberFormat="1" applyFont="1" applyFill="1" applyBorder="1" applyAlignment="1">
      <x:alignment vertical="center" wrapText="1"/>
    </x:xf>
    <x:xf numFmtId="0" fontId="23" fillId="13" borderId="36" xfId="0" applyNumberFormat="1" applyFont="1" applyFill="1" applyBorder="1" applyAlignment="1">
      <x:alignment vertical="center" wrapText="1"/>
    </x:xf>
    <x:xf numFmtId="0" fontId="23" fillId="13" xfId="0" applyNumberFormat="1" applyFont="1" applyFill="1" applyBorder="0" applyAlignment="1">
      <x:alignment vertical="center" wrapText="1"/>
    </x:xf>
    <x:xf numFmtId="0" fontId="23" fillId="13" borderId="37" xfId="0" applyNumberFormat="1" applyFont="1" applyFill="1" applyBorder="1" applyAlignment="1">
      <x:alignment vertical="center" wrapText="1"/>
    </x:xf>
    <x:xf numFmtId="0" fontId="23" fillId="13" borderId="8" xfId="0" applyNumberFormat="1" applyFont="1" applyFill="1" applyBorder="1" applyAlignment="1">
      <x:alignment horizontal="right" vertical="center" wrapText="1"/>
    </x:xf>
    <x:xf numFmtId="0" fontId="23" fillId="13" borderId="9" xfId="0" applyNumberFormat="1" applyFont="1" applyFill="1" applyBorder="1" applyAlignment="1">
      <x:alignment horizontal="right" vertical="center" wrapText="1"/>
    </x:xf>
    <x:xf numFmtId="0" fontId="23" fillId="13" borderId="10" xfId="0" applyNumberFormat="1" applyFont="1" applyFill="1" applyBorder="1" applyAlignment="1">
      <x:alignment horizontal="right" vertical="center" wrapText="1"/>
    </x:xf>
    <x:xf numFmtId="0" fontId="23" fillId="13" borderId="36" xfId="0" applyNumberFormat="1" applyFont="1" applyFill="1" applyBorder="1" applyAlignment="1">
      <x:alignment horizontal="right" vertical="center" wrapText="1"/>
    </x:xf>
    <x:xf numFmtId="0" fontId="23" fillId="13" borderId="11" xfId="0" applyNumberFormat="1" applyFont="1" applyFill="1" applyBorder="1" applyAlignment="1">
      <x:alignment horizontal="right" vertical="center" wrapText="1"/>
    </x:xf>
    <x:xf numFmtId="0" fontId="23" fillId="13" xfId="0" applyNumberFormat="1" applyFont="1" applyFill="1" applyBorder="0" applyAlignment="1">
      <x:alignment horizontal="right" vertical="center" wrapText="1"/>
    </x:xf>
    <x:xf numFmtId="0" fontId="23" fillId="13" borderId="12" xfId="0" applyNumberFormat="1" applyFont="1" applyFill="1" applyBorder="1" applyAlignment="1">
      <x:alignment horizontal="right" vertical="center" wrapText="1"/>
    </x:xf>
    <x:xf numFmtId="0" fontId="23" fillId="13" borderId="37" xfId="0" applyNumberFormat="1" applyFont="1" applyFill="1" applyBorder="1" applyAlignment="1">
      <x:alignment horizontal="right" vertical="center" wrapText="1"/>
    </x:xf>
    <x:xf numFmtId="0" fontId="23" fillId="13" borderId="0" xfId="0" applyNumberFormat="1" applyFont="1" applyFill="1" applyBorder="1" applyAlignment="1">
      <x:alignment vertical="center" wrapText="1"/>
    </x:xf>
    <x:xf numFmtId="0" fontId="23" fillId="13" borderId="0" xfId="0" applyNumberFormat="1" applyFont="1" applyFill="1" applyBorder="1" applyAlignment="1">
      <x:alignment horizontal="right" vertical="center" wrapText="1"/>
    </x:xf>
    <x:xf numFmtId="0" fontId="11" fillId="12" borderId="11" xfId="0" applyNumberFormat="1" applyFont="1" applyFill="1" applyBorder="1" applyAlignment="1">
      <x:alignment horizontal="left" vertical="center" wrapText="1"/>
    </x:xf>
    <x:xf numFmtId="0" fontId="11" fillId="12" borderId="0" xfId="0" applyNumberFormat="1" applyFont="1" applyFill="1" applyBorder="1" applyAlignment="1">
      <x:alignment horizontal="left" vertical="center" wrapText="1"/>
    </x:xf>
    <x:xf numFmtId="0" fontId="12" fillId="12" borderId="0" xfId="0" applyNumberFormat="1" applyFont="1" applyFill="1" applyBorder="1" applyAlignment="1">
      <x:alignment horizontal="left" vertical="center" wrapText="1"/>
    </x:xf>
    <x:xf numFmtId="0" fontId="11" fillId="12" borderId="12" xfId="0" applyNumberFormat="1" applyFont="1" applyFill="1" applyBorder="1" applyAlignment="1">
      <x:alignment horizontal="left" vertical="center" wrapText="1"/>
    </x:xf>
    <x:xf numFmtId="0" fontId="24" fillId="12" borderId="11" xfId="0" applyNumberFormat="1" applyFont="1" applyFill="1" applyBorder="1" applyAlignment="1">
      <x:alignment horizontal="left" vertical="center" wrapText="1"/>
    </x:xf>
    <x:xf numFmtId="0" fontId="24" fillId="12" borderId="0" xfId="0" applyNumberFormat="1" applyFont="1" applyFill="1" applyBorder="1" applyAlignment="1">
      <x:alignment horizontal="left" vertical="center" wrapText="1"/>
    </x:xf>
    <x:xf numFmtId="0" fontId="24" fillId="12" borderId="12" xfId="0" applyNumberFormat="1" applyFont="1" applyFill="1" applyBorder="1" applyAlignment="1">
      <x:alignment horizontal="left" vertical="center" wrapText="1"/>
    </x:xf>
    <x:xf numFmtId="0" fontId="24" fillId="12" borderId="0" xfId="0" applyNumberFormat="1" applyFont="1" applyFill="1" applyBorder="1" applyAlignment="1">
      <x:alignment vertical="center"/>
    </x:xf>
    <x:xf numFmtId="0" fontId="24" fillId="12" borderId="38" xfId="0" applyNumberFormat="1" applyFont="1" applyFill="1" applyBorder="1" applyAlignment="1">
      <x:alignment horizontal="left" vertical="center" wrapText="1"/>
    </x:xf>
    <x:xf numFmtId="0" fontId="24" fillId="12" borderId="39" xfId="0" applyNumberFormat="1" applyFont="1" applyFill="1" applyBorder="1" applyAlignment="1">
      <x:alignment horizontal="left" vertical="center" wrapText="1"/>
    </x:xf>
    <x:xf numFmtId="0" fontId="24" fillId="12" borderId="40" xfId="0" applyNumberFormat="1" applyFont="1" applyFill="1" applyBorder="1" applyAlignment="1">
      <x:alignment horizontal="left" vertical="center" wrapText="1"/>
    </x:xf>
    <x:xf numFmtId="0" fontId="24" fillId="12" borderId="41" xfId="0" applyNumberFormat="1" applyFont="1" applyFill="1" applyBorder="1" applyAlignment="1">
      <x:alignment vertical="center"/>
    </x:xf>
    <x:xf numFmtId="0" fontId="24" fillId="12" borderId="41" xfId="0" applyNumberFormat="1" applyFont="1" applyFill="1" applyBorder="1" applyAlignment="1">
      <x:alignment vertical="center" wrapText="1"/>
    </x:xf>
    <x:xf numFmtId="0" fontId="24" fillId="12" borderId="38" xfId="0" applyNumberFormat="1" applyFont="1" applyFill="1" applyBorder="1" applyAlignment="1">
      <x:alignment horizontal="center" vertical="center" wrapText="1"/>
    </x:xf>
    <x:xf numFmtId="0" fontId="24" fillId="12" borderId="39" xfId="0" applyNumberFormat="1" applyFont="1" applyFill="1" applyBorder="1" applyAlignment="1">
      <x:alignment horizontal="center" vertical="center" wrapText="1"/>
    </x:xf>
    <x:xf numFmtId="0" fontId="24" fillId="12" borderId="40" xfId="0" applyNumberFormat="1" applyFont="1" applyFill="1" applyBorder="1" applyAlignment="1">
      <x:alignment horizontal="center" vertical="center" wrapText="1"/>
    </x:xf>
    <x:xf numFmtId="0" fontId="24" fillId="12" borderId="41" xfId="0" applyNumberFormat="1" applyFont="1" applyFill="1" applyBorder="1" applyAlignment="1">
      <x:alignment horizontal="center" vertical="center" wrapText="1"/>
    </x:xf>
    <x:xf numFmtId="0" fontId="17" fillId="10" borderId="11" xfId="0" applyNumberFormat="1" applyFont="1" applyFill="1" applyBorder="1" applyAlignment="1">
      <x:alignment horizontal="left" vertical="center" wrapText="1"/>
    </x:xf>
    <x:xf numFmtId="0" fontId="17" fillId="10" borderId="0" xfId="0" applyNumberFormat="1" applyFont="1" applyFill="1" applyBorder="1" applyAlignment="1">
      <x:alignment horizontal="left" vertical="center" wrapText="1"/>
    </x:xf>
    <x:xf numFmtId="0" fontId="19" fillId="10" borderId="0" xfId="0" applyNumberFormat="1" applyFont="1" applyFill="1" applyBorder="1" applyAlignment="1">
      <x:alignment horizontal="left" vertical="center" wrapText="1"/>
    </x:xf>
    <x:xf numFmtId="0" fontId="17" fillId="10" borderId="12" xfId="0" applyNumberFormat="1" applyFont="1" applyFill="1" applyBorder="1" applyAlignment="1">
      <x:alignment horizontal="left" vertical="center" wrapText="1"/>
    </x:xf>
    <x:xf numFmtId="0" fontId="17" fillId="10" borderId="0" xfId="0" applyNumberFormat="1" applyFont="1" applyFill="1" applyBorder="1" applyAlignment="1">
      <x:alignment vertical="center"/>
    </x:xf>
    <x:xf numFmtId="0" fontId="17" fillId="10" borderId="13" xfId="0" applyNumberFormat="1" applyFont="1" applyFill="1" applyBorder="1" applyAlignment="1">
      <x:alignment horizontal="left" vertical="center" wrapText="1"/>
    </x:xf>
    <x:xf numFmtId="0" fontId="17" fillId="10" borderId="14" xfId="0" applyNumberFormat="1" applyFont="1" applyFill="1" applyBorder="1" applyAlignment="1">
      <x:alignment horizontal="left" vertical="center" wrapText="1"/>
    </x:xf>
    <x:xf numFmtId="0" fontId="19" fillId="10" borderId="14" xfId="0" applyNumberFormat="1" applyFont="1" applyFill="1" applyBorder="1" applyAlignment="1">
      <x:alignment horizontal="left" vertical="center" wrapText="1"/>
    </x:xf>
    <x:xf numFmtId="0" fontId="17" fillId="10" borderId="15" xfId="0" applyNumberFormat="1" applyFont="1" applyFill="1" applyBorder="1" applyAlignment="1">
      <x:alignment horizontal="left" vertical="center" wrapText="1"/>
    </x:xf>
    <x:xf numFmtId="0" fontId="17" fillId="10" borderId="26" xfId="0" applyNumberFormat="1" applyFont="1" applyFill="1" applyBorder="1" applyAlignment="1">
      <x:alignment horizontal="left" vertical="center" wrapText="1"/>
    </x:xf>
    <x:xf numFmtId="0" fontId="17" fillId="10" borderId="27" xfId="0" applyNumberFormat="1" applyFont="1" applyFill="1" applyBorder="1" applyAlignment="1">
      <x:alignment horizontal="left" vertical="center" wrapText="1"/>
    </x:xf>
    <x:xf numFmtId="0" fontId="19" fillId="10" borderId="27" xfId="0" applyNumberFormat="1" applyFont="1" applyFill="1" applyBorder="1" applyAlignment="1">
      <x:alignment horizontal="left" vertical="center" wrapText="1"/>
    </x:xf>
    <x:xf numFmtId="0" fontId="17" fillId="10" borderId="42" xfId="0" applyNumberFormat="1" applyFont="1" applyFill="1" applyBorder="1" applyAlignment="1">
      <x:alignment horizontal="left" vertical="center" wrapText="1"/>
    </x:xf>
    <x:xf numFmtId="0" fontId="17" fillId="10" borderId="28" xfId="0" applyNumberFormat="1" applyFont="1" applyFill="1" applyBorder="1" applyAlignment="1">
      <x:alignment vertical="center"/>
    </x:xf>
    <x:xf numFmtId="0" fontId="17" fillId="10" borderId="29" xfId="0" applyNumberFormat="1" applyFont="1" applyFill="1" applyBorder="1" applyAlignment="1">
      <x:alignment horizontal="left" vertical="center" wrapText="1"/>
    </x:xf>
    <x:xf numFmtId="0" fontId="17" fillId="10" xfId="0" applyNumberFormat="1" applyFont="1" applyFill="1" applyBorder="0" applyAlignment="1">
      <x:alignment horizontal="left" vertical="center" wrapText="1"/>
    </x:xf>
    <x:xf numFmtId="0" fontId="19" fillId="10" xfId="0" applyNumberFormat="1" applyFont="1" applyFill="1" applyBorder="0" applyAlignment="1">
      <x:alignment horizontal="left" vertical="center" wrapText="1"/>
    </x:xf>
    <x:xf numFmtId="0" fontId="17" fillId="10" borderId="30" xfId="0" applyNumberFormat="1" applyFont="1" applyFill="1" applyBorder="1" applyAlignment="1">
      <x:alignment vertical="center"/>
    </x:xf>
    <x:xf numFmtId="0" fontId="17" fillId="10" borderId="43" xfId="0" applyNumberFormat="1" applyFont="1" applyFill="1" applyBorder="1" applyAlignment="1">
      <x:alignment horizontal="left" vertical="center" wrapText="1"/>
    </x:xf>
    <x:xf numFmtId="0" fontId="17" fillId="10" borderId="29" xfId="0" applyNumberFormat="1" applyFont="1" applyFill="1" applyBorder="1" applyAlignment="1">
      <x:alignment vertical="center"/>
    </x:xf>
    <x:xf numFmtId="0" fontId="17" fillId="10" xfId="0" applyNumberFormat="1" applyFont="1" applyFill="1" applyBorder="0" applyAlignment="1">
      <x:alignment vertical="center"/>
    </x:xf>
    <x:xf numFmtId="0" fontId="17" fillId="10" borderId="31" xfId="0" applyNumberFormat="1" applyFont="1" applyFill="1" applyBorder="1" applyAlignment="1">
      <x:alignment vertical="center"/>
    </x:xf>
    <x:xf numFmtId="0" fontId="17" fillId="10" borderId="32" xfId="0" applyNumberFormat="1" applyFont="1" applyFill="1" applyBorder="1" applyAlignment="1">
      <x:alignment vertical="center"/>
    </x:xf>
    <x:xf numFmtId="0" fontId="17" fillId="10" borderId="33" xfId="0" applyNumberFormat="1" applyFont="1" applyFill="1" applyBorder="1" applyAlignment="1">
      <x:alignment vertical="center"/>
    </x:xf>
    <x:xf numFmtId="0" fontId="17" fillId="10" borderId="28" xfId="0" applyNumberFormat="1" applyFont="1" applyFill="1" applyBorder="1" applyAlignment="1">
      <x:alignment vertical="center" wrapText="1"/>
    </x:xf>
    <x:xf numFmtId="0" fontId="17" fillId="10" borderId="30" xfId="0" applyNumberFormat="1" applyFont="1" applyFill="1" applyBorder="1" applyAlignment="1">
      <x:alignment vertical="center" wrapText="1"/>
    </x:xf>
    <x:xf numFmtId="0" fontId="17" fillId="10" borderId="29" xfId="0" applyNumberFormat="1" applyFont="1" applyFill="1" applyBorder="1" applyAlignment="1">
      <x:alignment vertical="center" wrapText="1"/>
    </x:xf>
    <x:xf numFmtId="0" fontId="17" fillId="10" xfId="0" applyNumberFormat="1" applyFont="1" applyFill="1" applyBorder="0" applyAlignment="1">
      <x:alignment vertical="center" wrapText="1"/>
    </x:xf>
    <x:xf numFmtId="0" fontId="17" fillId="10" borderId="31" xfId="0" applyNumberFormat="1" applyFont="1" applyFill="1" applyBorder="1" applyAlignment="1">
      <x:alignment vertical="center" wrapText="1"/>
    </x:xf>
    <x:xf numFmtId="0" fontId="17" fillId="10" borderId="32" xfId="0" applyNumberFormat="1" applyFont="1" applyFill="1" applyBorder="1" applyAlignment="1">
      <x:alignment vertical="center" wrapText="1"/>
    </x:xf>
    <x:xf numFmtId="0" fontId="17" fillId="10" borderId="33" xfId="0" applyNumberFormat="1" applyFont="1" applyFill="1" applyBorder="1" applyAlignment="1">
      <x:alignment vertical="center" wrapText="1"/>
    </x:xf>
    <x:xf numFmtId="0" fontId="17" fillId="14" borderId="27" xfId="0" applyNumberFormat="1" applyFont="1" applyFill="1" applyBorder="1" applyAlignment="1">
      <x:alignment horizontal="left" vertical="center" wrapText="1"/>
    </x:xf>
    <x:xf numFmtId="0" fontId="17" fillId="14" xfId="0" applyNumberFormat="1" applyFont="1" applyFill="1" applyBorder="0" applyAlignment="1">
      <x:alignment horizontal="left" vertical="center" wrapText="1"/>
    </x:xf>
    <x:xf numFmtId="0" fontId="17" fillId="14" borderId="14" xfId="0" applyNumberFormat="1" applyFont="1" applyFill="1" applyBorder="1" applyAlignment="1">
      <x:alignment horizontal="left" vertical="center" wrapText="1"/>
    </x:xf>
    <x:xf numFmtId="0" fontId="17" fillId="14" xfId="0" applyNumberFormat="1" applyFont="1" applyFill="1" applyBorder="0" applyAlignment="1">
      <x:alignment vertical="center" wrapText="1"/>
    </x:xf>
    <x:xf numFmtId="0" fontId="17" fillId="14" borderId="32" xfId="0" applyNumberFormat="1" applyFont="1" applyFill="1" applyBorder="1" applyAlignment="1">
      <x:alignment vertical="center" wrapText="1"/>
    </x:xf>
    <x:xf numFmtId="0" fontId="25" fillId="14" borderId="27" xfId="0" applyNumberFormat="1" applyFont="1" applyFill="1" applyBorder="1" applyAlignment="1">
      <x:alignment horizontal="left" vertical="center" wrapText="1"/>
    </x:xf>
    <x:xf numFmtId="0" fontId="25" fillId="14" xfId="0" applyNumberFormat="1" applyFont="1" applyFill="1" applyBorder="0" applyAlignment="1">
      <x:alignment horizontal="left" vertical="center" wrapText="1"/>
    </x:xf>
    <x:xf numFmtId="0" fontId="25" fillId="14" borderId="14" xfId="0" applyNumberFormat="1" applyFont="1" applyFill="1" applyBorder="1" applyAlignment="1">
      <x:alignment horizontal="left" vertical="center" wrapText="1"/>
    </x:xf>
    <x:xf numFmtId="0" fontId="25" fillId="14" xfId="0" applyNumberFormat="1" applyFont="1" applyFill="1" applyBorder="0" applyAlignment="1">
      <x:alignment vertical="center" wrapText="1"/>
    </x:xf>
    <x:xf numFmtId="0" fontId="25" fillId="14" borderId="32" xfId="0" applyNumberFormat="1" applyFont="1" applyFill="1" applyBorder="1" applyAlignment="1">
      <x:alignment vertical="center" wrapText="1"/>
    </x:xf>
    <x:xf numFmtId="0" fontId="25" fillId="14" borderId="27" xfId="0" applyNumberFormat="1" applyFont="1" applyFill="1" applyBorder="1" applyAlignment="1">
      <x:alignment horizontal="center" vertical="center" wrapText="1"/>
    </x:xf>
    <x:xf numFmtId="0" fontId="25" fillId="14" xfId="0" applyNumberFormat="1" applyFont="1" applyFill="1" applyBorder="0" applyAlignment="1">
      <x:alignment horizontal="center" vertical="center" wrapText="1"/>
    </x:xf>
    <x:xf numFmtId="0" fontId="25" fillId="14" borderId="14" xfId="0" applyNumberFormat="1" applyFont="1" applyFill="1" applyBorder="1" applyAlignment="1">
      <x:alignment horizontal="center" vertical="center" wrapText="1"/>
    </x:xf>
    <x:xf numFmtId="0" fontId="25" fillId="14" borderId="32" xfId="0" applyNumberFormat="1" applyFont="1" applyFill="1" applyBorder="1" applyAlignment="1">
      <x:alignment horizontal="center" vertical="center" wrapText="1"/>
    </x:xf>
    <x:xf numFmtId="0" fontId="17" fillId="14" borderId="0" xfId="0" applyNumberFormat="1" applyFont="1" applyFill="1" applyBorder="1" applyAlignment="1">
      <x:alignment horizontal="left" vertical="center" wrapText="1"/>
    </x:xf>
    <x:xf numFmtId="0" fontId="25" fillId="14" borderId="0" xfId="0" applyNumberFormat="1" applyFont="1" applyFill="1" applyBorder="1" applyAlignment="1">
      <x:alignment horizontal="left" vertical="center" wrapText="1"/>
    </x:xf>
    <x:xf numFmtId="0" fontId="25" fillId="14" borderId="0" xfId="0" applyNumberFormat="1" applyFont="1" applyFill="1" applyBorder="1" applyAlignment="1">
      <x:alignment horizontal="center" vertical="center" wrapText="1"/>
    </x:xf>
    <x:xf numFmtId="0" fontId="17" fillId="12" borderId="26" xfId="0" applyNumberFormat="1" applyFont="1" applyFill="1" applyBorder="1" applyAlignment="1">
      <x:alignment horizontal="left" vertical="center" wrapText="1"/>
    </x:xf>
    <x:xf numFmtId="0" fontId="17" fillId="12" borderId="29" xfId="0" applyNumberFormat="1" applyFont="1" applyFill="1" applyBorder="1" applyAlignment="1">
      <x:alignment horizontal="left" vertical="center" wrapText="1"/>
    </x:xf>
    <x:xf numFmtId="0" fontId="17" fillId="12" borderId="43" xfId="0" applyNumberFormat="1" applyFont="1" applyFill="1" applyBorder="1" applyAlignment="1">
      <x:alignment horizontal="left" vertical="center" wrapText="1"/>
    </x:xf>
    <x:xf numFmtId="0" fontId="17" fillId="12" borderId="29" xfId="0" applyNumberFormat="1" applyFont="1" applyFill="1" applyBorder="1" applyAlignment="1">
      <x:alignment vertical="center" wrapText="1"/>
    </x:xf>
    <x:xf numFmtId="0" fontId="16" fillId="12" borderId="26" xfId="0" applyNumberFormat="1" applyFont="1" applyFill="1" applyBorder="1" applyAlignment="1">
      <x:alignment horizontal="left" vertical="center" wrapText="1"/>
    </x:xf>
    <x:xf numFmtId="0" fontId="16" fillId="12" borderId="29" xfId="0" applyNumberFormat="1" applyFont="1" applyFill="1" applyBorder="1" applyAlignment="1">
      <x:alignment horizontal="left" vertical="center" wrapText="1"/>
    </x:xf>
    <x:xf numFmtId="0" fontId="16" fillId="12" borderId="43" xfId="0" applyNumberFormat="1" applyFont="1" applyFill="1" applyBorder="1" applyAlignment="1">
      <x:alignment horizontal="left" vertical="center" wrapText="1"/>
    </x:xf>
    <x:xf numFmtId="0" fontId="16" fillId="12" borderId="29" xfId="0" applyNumberFormat="1" applyFont="1" applyFill="1" applyBorder="1" applyAlignment="1">
      <x:alignment vertical="center" wrapText="1"/>
    </x:xf>
    <x:xf numFmtId="0" fontId="16" fillId="12" borderId="31" xfId="0" applyNumberFormat="1" applyFont="1" applyFill="1" applyBorder="1" applyAlignment="1">
      <x:alignment vertical="center" wrapText="1"/>
    </x:xf>
    <x:xf numFmtId="0" fontId="16" fillId="12" borderId="26" xfId="0" applyNumberFormat="1" applyFont="1" applyFill="1" applyBorder="1" applyAlignment="1">
      <x:alignment horizontal="center" vertical="center" wrapText="1"/>
    </x:xf>
    <x:xf numFmtId="0" fontId="16" fillId="12" borderId="29" xfId="0" applyNumberFormat="1" applyFont="1" applyFill="1" applyBorder="1" applyAlignment="1">
      <x:alignment horizontal="center" vertical="center" wrapText="1"/>
    </x:xf>
    <x:xf numFmtId="0" fontId="16" fillId="12" borderId="43" xfId="0" applyNumberFormat="1" applyFont="1" applyFill="1" applyBorder="1" applyAlignment="1">
      <x:alignment horizontal="center" vertical="center" wrapText="1"/>
    </x:xf>
    <x:xf numFmtId="0" fontId="16" fillId="12" borderId="31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vertical="center"/>
    </x:xf>
    <x:xf numFmtId="0" fontId="20" fillId="15" borderId="0" xfId="0" applyNumberFormat="1" applyFont="1" applyFill="1" applyBorder="1" applyAlignment="1">
      <x:alignment horizontal="center" vertical="center"/>
    </x:xf>
    <x:xf numFmtId="0" fontId="12" fillId="13" borderId="0" xfId="0" applyNumberFormat="1" applyFont="1" applyFill="1" applyBorder="1" applyAlignment="1">
      <x:alignment vertical="center"/>
    </x:xf>
    <x:xf numFmtId="0" fontId="12" fillId="13" borderId="44" xfId="0" applyNumberFormat="1" applyFont="1" applyFill="1" applyBorder="1" applyAlignment="1">
      <x:alignment vertical="center"/>
    </x:xf>
    <x:xf numFmtId="0" fontId="12" fillId="13" xfId="0" applyNumberFormat="1" applyFont="1" applyFill="1" applyBorder="0" applyAlignment="1">
      <x:alignment vertical="center"/>
    </x:xf>
    <x:xf numFmtId="0" fontId="12" fillId="13" borderId="44" xfId="0" applyNumberFormat="1" applyFont="1" applyFill="1" applyBorder="1" applyAlignment="1">
      <x:alignment vertical="center" wrapText="1"/>
    </x:xf>
    <x:xf numFmtId="0" fontId="12" fillId="13" xfId="0" applyNumberFormat="1" applyFont="1" applyFill="1" applyBorder="0" applyAlignment="1">
      <x:alignment vertical="center" wrapText="1"/>
    </x:xf>
    <x:xf numFmtId="0" fontId="12" fillId="13" borderId="44" xfId="0" applyNumberFormat="1" applyFont="1" applyFill="1" applyBorder="1" applyAlignment="1">
      <x:alignment horizontal="center" vertical="center" wrapText="1"/>
    </x:xf>
    <x:xf numFmtId="0" fontId="12" fillId="13" xfId="0" applyNumberFormat="1" applyFont="1" applyFill="1" applyBorder="0" applyAlignment="1">
      <x:alignment horizontal="center" vertical="center" wrapText="1"/>
    </x:xf>
    <x:xf numFmtId="0" fontId="10" fillId="10" borderId="8" xfId="0" applyNumberFormat="1" applyFont="1" applyFill="1" applyBorder="1" applyAlignment="1">
      <x:alignment horizontal="left" vertical="center" wrapText="0"/>
    </x:xf>
    <x:xf numFmtId="0" fontId="10" fillId="10" borderId="9" xfId="0" applyNumberFormat="1" applyFont="1" applyFill="1" applyBorder="1" applyAlignment="1">
      <x:alignment horizontal="left" vertical="center" wrapText="0"/>
    </x:xf>
    <x:xf numFmtId="200" fontId="10" fillId="10" borderId="9" xfId="0" applyNumberFormat="1" applyFont="1" applyFill="1" applyBorder="1" applyAlignment="1">
      <x:alignment horizontal="left" vertical="center" wrapText="0"/>
    </x:xf>
    <x:xf numFmtId="0" fontId="10" fillId="10" borderId="10" xfId="0" applyNumberFormat="1" applyFont="1" applyFill="1" applyBorder="1" applyAlignment="1">
      <x:alignment horizontal="left" vertical="center" wrapText="0"/>
    </x:xf>
    <x:xf numFmtId="0" fontId="10" fillId="10" borderId="11" xfId="0" applyNumberFormat="1" applyFont="1" applyFill="1" applyBorder="1" applyAlignment="1">
      <x:alignment horizontal="left" vertical="center" wrapText="0"/>
    </x:xf>
    <x:xf numFmtId="0" fontId="10" fillId="10" borderId="0" xfId="0" applyNumberFormat="1" applyFont="1" applyFill="1" applyBorder="1" applyAlignment="1">
      <x:alignment horizontal="left" vertical="center" wrapText="0"/>
    </x:xf>
    <x:xf numFmtId="200" fontId="10" fillId="10" borderId="0" xfId="0" applyNumberFormat="1" applyFont="1" applyFill="1" applyBorder="1" applyAlignment="1">
      <x:alignment horizontal="left" vertical="center" wrapText="0"/>
    </x:xf>
    <x:xf numFmtId="0" fontId="10" fillId="10" borderId="12" xfId="0" applyNumberFormat="1" applyFont="1" applyFill="1" applyBorder="1" applyAlignment="1">
      <x:alignment horizontal="left" vertical="center" wrapText="0"/>
    </x:xf>
    <x:xf numFmtId="0" fontId="10" fillId="10" borderId="13" xfId="0" applyNumberFormat="1" applyFont="1" applyFill="1" applyBorder="1" applyAlignment="1">
      <x:alignment horizontal="left" vertical="center" wrapText="0"/>
    </x:xf>
    <x:xf numFmtId="0" fontId="10" fillId="10" borderId="14" xfId="0" applyNumberFormat="1" applyFont="1" applyFill="1" applyBorder="1" applyAlignment="1">
      <x:alignment horizontal="left" vertical="center" wrapText="0"/>
    </x:xf>
    <x:xf numFmtId="200" fontId="10" fillId="10" borderId="14" xfId="0" applyNumberFormat="1" applyFont="1" applyFill="1" applyBorder="1" applyAlignment="1">
      <x:alignment horizontal="left" vertical="center" wrapText="0"/>
    </x:xf>
    <x:xf numFmtId="0" fontId="10" fillId="10" borderId="15" xfId="0" applyNumberFormat="1" applyFont="1" applyFill="1" applyBorder="1" applyAlignment="1">
      <x:alignment horizontal="left" vertical="center" wrapText="0"/>
    </x:xf>
    <x:xf numFmtId="0" fontId="11" fillId="10" borderId="8" xfId="0" applyNumberFormat="1" applyFont="1" applyFill="1" applyBorder="1" applyAlignment="1">
      <x:alignment horizontal="left" vertical="center" wrapText="0"/>
    </x:xf>
    <x:xf numFmtId="0" fontId="11" fillId="10" borderId="9" xfId="0" applyNumberFormat="1" applyFont="1" applyFill="1" applyBorder="1" applyAlignment="1">
      <x:alignment horizontal="left" vertical="center" wrapText="0"/>
    </x:xf>
    <x:xf numFmtId="200" fontId="11" fillId="10" borderId="9" xfId="0" applyNumberFormat="1" applyFont="1" applyFill="1" applyBorder="1" applyAlignment="1">
      <x:alignment horizontal="left" vertical="center" wrapText="0"/>
    </x:xf>
    <x:xf numFmtId="0" fontId="11" fillId="10" borderId="10" xfId="0" applyNumberFormat="1" applyFont="1" applyFill="1" applyBorder="1" applyAlignment="1">
      <x:alignment horizontal="left" vertical="center" wrapText="0"/>
    </x:xf>
    <x:xf numFmtId="0" fontId="11" fillId="10" borderId="11" xfId="0" applyNumberFormat="1" applyFont="1" applyFill="1" applyBorder="1" applyAlignment="1">
      <x:alignment horizontal="left" vertical="center" wrapText="0"/>
    </x:xf>
    <x:xf numFmtId="200" fontId="11" fillId="10" borderId="0" xfId="0" applyNumberFormat="1" applyFont="1" applyFill="1" applyBorder="1" applyAlignment="1">
      <x:alignment horizontal="left" vertical="center" wrapText="0"/>
    </x:xf>
    <x:xf numFmtId="0" fontId="11" fillId="10" borderId="12" xfId="0" applyNumberFormat="1" applyFont="1" applyFill="1" applyBorder="1" applyAlignment="1">
      <x:alignment horizontal="left" vertical="center" wrapText="0"/>
    </x:xf>
    <x:xf numFmtId="0" fontId="11" fillId="10" borderId="13" xfId="0" applyNumberFormat="1" applyFont="1" applyFill="1" applyBorder="1" applyAlignment="1">
      <x:alignment horizontal="left" vertical="center" wrapText="0"/>
    </x:xf>
    <x:xf numFmtId="0" fontId="11" fillId="10" borderId="14" xfId="0" applyNumberFormat="1" applyFont="1" applyFill="1" applyBorder="1" applyAlignment="1">
      <x:alignment horizontal="left" vertical="center" wrapText="0"/>
    </x:xf>
    <x:xf numFmtId="200" fontId="11" fillId="10" borderId="14" xfId="0" applyNumberFormat="1" applyFont="1" applyFill="1" applyBorder="1" applyAlignment="1">
      <x:alignment horizontal="left" vertical="center" wrapText="0"/>
    </x:xf>
    <x:xf numFmtId="0" fontId="11" fillId="10" borderId="15" xfId="0" applyNumberFormat="1" applyFont="1" applyFill="1" applyBorder="1" applyAlignment="1">
      <x:alignment horizontal="left" vertical="center" wrapText="0"/>
    </x:xf>
    <x:xf numFmtId="0" fontId="26" fillId="12" borderId="0" xfId="0" applyNumberFormat="1" applyFont="1" applyFill="1" applyBorder="1" applyAlignment="1">
      <x:alignment horizontal="left" vertical="center" wrapText="0"/>
    </x:xf>
    <x:xf numFmtId="0" fontId="11" fillId="13" borderId="8" xfId="0" applyNumberFormat="1" applyFont="1" applyFill="1" applyBorder="1" applyAlignment="1">
      <x:alignment horizontal="left" vertical="center" wrapText="0"/>
    </x:xf>
    <x:xf numFmtId="0" fontId="11" fillId="13" borderId="9" xfId="0" applyNumberFormat="1" applyFont="1" applyFill="1" applyBorder="1" applyAlignment="1">
      <x:alignment horizontal="left" vertical="center" wrapText="0"/>
    </x:xf>
    <x:xf numFmtId="200" fontId="11" fillId="13" borderId="9" xfId="0" applyNumberFormat="1" applyFont="1" applyFill="1" applyBorder="1" applyAlignment="1">
      <x:alignment horizontal="left" vertical="center" wrapText="0"/>
    </x:xf>
    <x:xf numFmtId="0" fontId="11" fillId="13" borderId="10" xfId="0" applyNumberFormat="1" applyFont="1" applyFill="1" applyBorder="1" applyAlignment="1">
      <x:alignment horizontal="left" vertical="center" wrapText="0"/>
    </x:xf>
    <x:xf numFmtId="0" fontId="11" fillId="13" borderId="11" xfId="0" applyNumberFormat="1" applyFont="1" applyFill="1" applyBorder="1" applyAlignment="1">
      <x:alignment horizontal="left" vertical="center" wrapText="0"/>
    </x:xf>
    <x:xf numFmtId="0" fontId="11" fillId="13" borderId="0" xfId="0" applyNumberFormat="1" applyFont="1" applyFill="1" applyBorder="1" applyAlignment="1">
      <x:alignment horizontal="left" vertical="center" wrapText="0"/>
    </x:xf>
    <x:xf numFmtId="200" fontId="11" fillId="13" borderId="0" xfId="0" applyNumberFormat="1" applyFont="1" applyFill="1" applyBorder="1" applyAlignment="1">
      <x:alignment horizontal="left" vertical="center" wrapText="0"/>
    </x:xf>
    <x:xf numFmtId="0" fontId="11" fillId="13" borderId="12" xfId="0" applyNumberFormat="1" applyFont="1" applyFill="1" applyBorder="1" applyAlignment="1">
      <x:alignment horizontal="left" vertical="center" wrapText="0"/>
    </x:xf>
    <x:xf numFmtId="0" fontId="23" fillId="13" borderId="8" xfId="0" applyNumberFormat="1" applyFont="1" applyFill="1" applyBorder="1" applyAlignment="1">
      <x:alignment horizontal="left" vertical="center" wrapText="0"/>
    </x:xf>
    <x:xf numFmtId="0" fontId="23" fillId="13" borderId="9" xfId="0" applyNumberFormat="1" applyFont="1" applyFill="1" applyBorder="1" applyAlignment="1">
      <x:alignment horizontal="left" vertical="center" wrapText="0"/>
    </x:xf>
    <x:xf numFmtId="200" fontId="23" fillId="13" borderId="9" xfId="0" applyNumberFormat="1" applyFont="1" applyFill="1" applyBorder="1" applyAlignment="1">
      <x:alignment horizontal="left" vertical="center" wrapText="0"/>
    </x:xf>
    <x:xf numFmtId="0" fontId="23" fillId="13" borderId="10" xfId="0" applyNumberFormat="1" applyFont="1" applyFill="1" applyBorder="1" applyAlignment="1">
      <x:alignment horizontal="left" vertical="center" wrapText="0"/>
    </x:xf>
    <x:xf numFmtId="0" fontId="23" fillId="13" borderId="11" xfId="0" applyNumberFormat="1" applyFont="1" applyFill="1" applyBorder="1" applyAlignment="1">
      <x:alignment horizontal="left" vertical="center" wrapText="0"/>
    </x:xf>
    <x:xf numFmtId="0" fontId="23" fillId="13" borderId="0" xfId="0" applyNumberFormat="1" applyFont="1" applyFill="1" applyBorder="1" applyAlignment="1">
      <x:alignment horizontal="left" vertical="center" wrapText="0"/>
    </x:xf>
    <x:xf numFmtId="200" fontId="23" fillId="13" borderId="0" xfId="0" applyNumberFormat="1" applyFont="1" applyFill="1" applyBorder="1" applyAlignment="1">
      <x:alignment horizontal="left" vertical="center" wrapText="0"/>
    </x:xf>
    <x:xf numFmtId="0" fontId="23" fillId="13" borderId="12" xfId="0" applyNumberFormat="1" applyFont="1" applyFill="1" applyBorder="1" applyAlignment="1">
      <x:alignment horizontal="left" vertical="center" wrapText="0"/>
    </x:xf>
    <x:xf numFmtId="0" fontId="23" fillId="13" borderId="36" xfId="0" applyNumberFormat="1" applyFont="1" applyFill="1" applyBorder="1" applyAlignment="1">
      <x:alignment horizontal="left" vertical="center" wrapText="0"/>
    </x:xf>
    <x:xf numFmtId="0" fontId="23" fillId="13" xfId="0" applyNumberFormat="1" applyFont="1" applyFill="1" applyBorder="0" applyAlignment="1">
      <x:alignment horizontal="left" vertical="center" wrapText="0"/>
    </x:xf>
    <x:xf numFmtId="200" fontId="23" fillId="13" xfId="0" applyNumberFormat="1" applyFont="1" applyFill="1" applyBorder="0" applyAlignment="1">
      <x:alignment horizontal="left" vertical="center" wrapText="0"/>
    </x:xf>
    <x:xf numFmtId="0" fontId="23" fillId="13" borderId="37" xfId="0" applyNumberFormat="1" applyFont="1" applyFill="1" applyBorder="1" applyAlignment="1">
      <x:alignment horizontal="left" vertical="center" wrapText="0"/>
    </x:xf>
    <x:xf numFmtId="200" fontId="23" fillId="13" borderId="9" xfId="0" applyNumberFormat="1" applyFont="1" applyFill="1" applyBorder="1" applyAlignment="1">
      <x:alignment horizontal="left" vertical="center" wrapText="1"/>
    </x:xf>
    <x:xf numFmtId="0" fontId="23" fillId="13" borderId="36" xfId="0" applyNumberFormat="1" applyFont="1" applyFill="1" applyBorder="1" applyAlignment="1">
      <x:alignment horizontal="left" vertical="center" wrapText="1"/>
    </x:xf>
    <x:xf numFmtId="200" fontId="23" fillId="13" xfId="0" applyNumberFormat="1" applyFont="1" applyFill="1" applyBorder="0" applyAlignment="1">
      <x:alignment horizontal="left" vertical="center" wrapText="1"/>
    </x:xf>
    <x:xf numFmtId="0" fontId="23" fillId="13" borderId="37" xfId="0" applyNumberFormat="1" applyFont="1" applyFill="1" applyBorder="1" applyAlignment="1">
      <x:alignment horizontal="left" vertical="center" wrapText="1"/>
    </x:xf>
    <x:xf numFmtId="200" fontId="23" fillId="13" borderId="9" xfId="0" applyNumberFormat="1" applyFont="1" applyFill="1" applyBorder="1" applyAlignment="1">
      <x:alignment horizontal="right" vertical="center" wrapText="1"/>
    </x:xf>
    <x:xf numFmtId="200" fontId="23" fillId="13" xfId="0" applyNumberFormat="1" applyFont="1" applyFill="1" applyBorder="0" applyAlignment="1">
      <x:alignment horizontal="right" vertical="center" wrapText="1"/>
    </x:xf>
    <x:xf numFmtId="200" fontId="23" fillId="13" borderId="0" xfId="0" applyNumberFormat="1" applyFont="1" applyFill="1" applyBorder="1" applyAlignment="1">
      <x:alignment horizontal="left" vertical="center" wrapText="1"/>
    </x:xf>
    <x:xf numFmtId="200" fontId="23" fillId="13" borderId="0" xfId="0" applyNumberFormat="1" applyFont="1" applyFill="1" applyBorder="1" applyAlignment="1">
      <x:alignment horizontal="right" vertical="center" wrapText="1"/>
    </x:xf>
    <x:xf numFmtId="0" fontId="11" fillId="14" borderId="11" xfId="0" applyNumberFormat="1" applyFont="1" applyFill="1" applyBorder="1" applyAlignment="1">
      <x:alignment horizontal="left" vertical="center" wrapText="0"/>
    </x:xf>
    <x:xf numFmtId="0" fontId="11" fillId="14" borderId="0" xfId="0" applyNumberFormat="1" applyFont="1" applyFill="1" applyBorder="1" applyAlignment="1">
      <x:alignment horizontal="left" vertical="center" wrapText="0"/>
    </x:xf>
    <x:xf numFmtId="200" fontId="11" fillId="14" borderId="0" xfId="0" applyNumberFormat="1" applyFont="1" applyFill="1" applyBorder="1" applyAlignment="1">
      <x:alignment horizontal="left" vertical="center" wrapText="0"/>
    </x:xf>
    <x:xf numFmtId="0" fontId="11" fillId="14" borderId="12" xfId="0" applyNumberFormat="1" applyFont="1" applyFill="1" applyBorder="1" applyAlignment="1">
      <x:alignment horizontal="left" vertical="center" wrapText="0"/>
    </x:xf>
    <x:xf numFmtId="0" fontId="12" fillId="14" borderId="11" xfId="0" applyNumberFormat="1" applyFont="1" applyFill="1" applyBorder="1" applyAlignment="1">
      <x:alignment horizontal="left" vertical="center" wrapText="0"/>
    </x:xf>
    <x:xf numFmtId="0" fontId="12" fillId="14" borderId="0" xfId="0" applyNumberFormat="1" applyFont="1" applyFill="1" applyBorder="1" applyAlignment="1">
      <x:alignment horizontal="left" vertical="center" wrapText="0"/>
    </x:xf>
    <x:xf numFmtId="200" fontId="12" fillId="14" borderId="0" xfId="0" applyNumberFormat="1" applyFont="1" applyFill="1" applyBorder="1" applyAlignment="1">
      <x:alignment horizontal="left" vertical="center" wrapText="0"/>
    </x:xf>
    <x:xf numFmtId="0" fontId="12" fillId="14" borderId="12" xfId="0" applyNumberFormat="1" applyFont="1" applyFill="1" applyBorder="1" applyAlignment="1">
      <x:alignment horizontal="left" vertical="center" wrapText="0"/>
    </x:xf>
    <x:xf numFmtId="0" fontId="12" fillId="14" borderId="11" xfId="0" applyNumberFormat="1" applyFont="1" applyFill="1" applyBorder="1" applyAlignment="1">
      <x:alignment horizontal="left" vertical="center" wrapText="1"/>
    </x:xf>
    <x:xf numFmtId="0" fontId="12" fillId="14" borderId="0" xfId="0" applyNumberFormat="1" applyFont="1" applyFill="1" applyBorder="1" applyAlignment="1">
      <x:alignment horizontal="left" vertical="center" wrapText="1"/>
    </x:xf>
    <x:xf numFmtId="200" fontId="12" fillId="14" borderId="0" xfId="0" applyNumberFormat="1" applyFont="1" applyFill="1" applyBorder="1" applyAlignment="1">
      <x:alignment horizontal="left" vertical="center" wrapText="1"/>
    </x:xf>
    <x:xf numFmtId="0" fontId="12" fillId="14" borderId="12" xfId="0" applyNumberFormat="1" applyFont="1" applyFill="1" applyBorder="1" applyAlignment="1">
      <x:alignment horizontal="left" vertical="center" wrapText="1"/>
    </x:xf>
    <x:xf numFmtId="0" fontId="12" fillId="14" borderId="11" xfId="0" applyNumberFormat="1" applyFont="1" applyFill="1" applyBorder="1" applyAlignment="1">
      <x:alignment horizontal="center" vertical="center" wrapText="1"/>
    </x:xf>
    <x:xf numFmtId="200" fontId="12" fillId="14" borderId="0" xfId="0" applyNumberFormat="1" applyFont="1" applyFill="1" applyBorder="1" applyAlignment="1">
      <x:alignment horizontal="center" vertical="center" wrapText="1"/>
    </x:xf>
    <x:xf numFmtId="0" fontId="12" fillId="14" borderId="12" xfId="0" applyNumberFormat="1" applyFont="1" applyFill="1" applyBorder="1" applyAlignment="1">
      <x:alignment horizontal="center" vertical="center" wrapText="1"/>
    </x:xf>
    <x:xf numFmtId="0" fontId="11" fillId="12" borderId="11" xfId="0" applyNumberFormat="1" applyFont="1" applyFill="1" applyBorder="1" applyAlignment="1">
      <x:alignment horizontal="left" vertical="center" wrapText="0"/>
    </x:xf>
    <x:xf numFmtId="0" fontId="11" fillId="12" borderId="0" xfId="0" applyNumberFormat="1" applyFont="1" applyFill="1" applyBorder="1" applyAlignment="1">
      <x:alignment horizontal="left" vertical="center" wrapText="0"/>
    </x:xf>
    <x:xf numFmtId="200" fontId="11" fillId="12" borderId="0" xfId="0" applyNumberFormat="1" applyFont="1" applyFill="1" applyBorder="1" applyAlignment="1">
      <x:alignment horizontal="left" vertical="center" wrapText="0"/>
    </x:xf>
    <x:xf numFmtId="0" fontId="11" fillId="12" borderId="12" xfId="0" applyNumberFormat="1" applyFont="1" applyFill="1" applyBorder="1" applyAlignment="1">
      <x:alignment horizontal="left" vertical="center" wrapText="0"/>
    </x:xf>
    <x:xf numFmtId="0" fontId="24" fillId="12" borderId="11" xfId="0" applyNumberFormat="1" applyFont="1" applyFill="1" applyBorder="1" applyAlignment="1">
      <x:alignment horizontal="left" vertical="center" wrapText="0"/>
    </x:xf>
    <x:xf numFmtId="0" fontId="24" fillId="12" borderId="0" xfId="0" applyNumberFormat="1" applyFont="1" applyFill="1" applyBorder="1" applyAlignment="1">
      <x:alignment horizontal="left" vertical="center" wrapText="0"/>
    </x:xf>
    <x:xf numFmtId="200" fontId="24" fillId="12" borderId="0" xfId="0" applyNumberFormat="1" applyFont="1" applyFill="1" applyBorder="1" applyAlignment="1">
      <x:alignment horizontal="left" vertical="center" wrapText="0"/>
    </x:xf>
    <x:xf numFmtId="0" fontId="24" fillId="12" borderId="12" xfId="0" applyNumberFormat="1" applyFont="1" applyFill="1" applyBorder="1" applyAlignment="1">
      <x:alignment horizontal="left" vertical="center" wrapText="0"/>
    </x:xf>
    <x:xf numFmtId="0" fontId="24" fillId="12" borderId="38" xfId="0" applyNumberFormat="1" applyFont="1" applyFill="1" applyBorder="1" applyAlignment="1">
      <x:alignment horizontal="left" vertical="center" wrapText="0"/>
    </x:xf>
    <x:xf numFmtId="0" fontId="24" fillId="12" borderId="39" xfId="0" applyNumberFormat="1" applyFont="1" applyFill="1" applyBorder="1" applyAlignment="1">
      <x:alignment horizontal="left" vertical="center" wrapText="0"/>
    </x:xf>
    <x:xf numFmtId="200" fontId="24" fillId="12" borderId="39" xfId="0" applyNumberFormat="1" applyFont="1" applyFill="1" applyBorder="1" applyAlignment="1">
      <x:alignment horizontal="left" vertical="center" wrapText="0"/>
    </x:xf>
    <x:xf numFmtId="0" fontId="24" fillId="12" borderId="41" xfId="0" applyNumberFormat="1" applyFont="1" applyFill="1" applyBorder="1" applyAlignment="1">
      <x:alignment horizontal="left" vertical="center" wrapText="0"/>
    </x:xf>
    <x:xf numFmtId="200" fontId="24" fillId="12" borderId="39" xfId="0" applyNumberFormat="1" applyFont="1" applyFill="1" applyBorder="1" applyAlignment="1">
      <x:alignment horizontal="left" vertical="center" wrapText="1"/>
    </x:xf>
    <x:xf numFmtId="0" fontId="24" fillId="12" borderId="41" xfId="0" applyNumberFormat="1" applyFont="1" applyFill="1" applyBorder="1" applyAlignment="1">
      <x:alignment horizontal="left" vertical="center" wrapText="1"/>
    </x:xf>
    <x:xf numFmtId="200" fontId="24" fillId="12" borderId="39" xfId="0" applyNumberFormat="1" applyFont="1" applyFill="1" applyBorder="1" applyAlignment="1">
      <x:alignment horizontal="center" vertical="center" wrapText="1"/>
    </x:xf>
    <x:xf numFmtId="0" fontId="17" fillId="10" borderId="11" xfId="0" applyNumberFormat="1" applyFont="1" applyFill="1" applyBorder="1" applyAlignment="1">
      <x:alignment horizontal="left" vertical="center" wrapText="0"/>
    </x:xf>
    <x:xf numFmtId="0" fontId="17" fillId="10" borderId="0" xfId="0" applyNumberFormat="1" applyFont="1" applyFill="1" applyBorder="1" applyAlignment="1">
      <x:alignment horizontal="left" vertical="center" wrapText="0"/>
    </x:xf>
    <x:xf numFmtId="200" fontId="17" fillId="10" borderId="0" xfId="0" applyNumberFormat="1" applyFont="1" applyFill="1" applyBorder="1" applyAlignment="1">
      <x:alignment horizontal="left" vertical="center" wrapText="0"/>
    </x:xf>
    <x:xf numFmtId="0" fontId="17" fillId="10" borderId="12" xfId="0" applyNumberFormat="1" applyFont="1" applyFill="1" applyBorder="1" applyAlignment="1">
      <x:alignment horizontal="left" vertical="center" wrapText="0"/>
    </x:xf>
    <x:xf numFmtId="0" fontId="17" fillId="10" borderId="13" xfId="0" applyNumberFormat="1" applyFont="1" applyFill="1" applyBorder="1" applyAlignment="1">
      <x:alignment horizontal="left" vertical="center" wrapText="0"/>
    </x:xf>
    <x:xf numFmtId="0" fontId="17" fillId="10" borderId="14" xfId="0" applyNumberFormat="1" applyFont="1" applyFill="1" applyBorder="1" applyAlignment="1">
      <x:alignment horizontal="left" vertical="center" wrapText="0"/>
    </x:xf>
    <x:xf numFmtId="200" fontId="17" fillId="10" borderId="14" xfId="0" applyNumberFormat="1" applyFont="1" applyFill="1" applyBorder="1" applyAlignment="1">
      <x:alignment horizontal="left" vertical="center" wrapText="0"/>
    </x:xf>
    <x:xf numFmtId="0" fontId="17" fillId="10" borderId="15" xfId="0" applyNumberFormat="1" applyFont="1" applyFill="1" applyBorder="1" applyAlignment="1">
      <x:alignment horizontal="left" vertical="center" wrapText="0"/>
    </x:xf>
    <x:xf numFmtId="0" fontId="17" fillId="10" borderId="26" xfId="0" applyNumberFormat="1" applyFont="1" applyFill="1" applyBorder="1" applyAlignment="1">
      <x:alignment horizontal="left" vertical="center" wrapText="0"/>
    </x:xf>
    <x:xf numFmtId="0" fontId="17" fillId="10" borderId="27" xfId="0" applyNumberFormat="1" applyFont="1" applyFill="1" applyBorder="1" applyAlignment="1">
      <x:alignment horizontal="left" vertical="center" wrapText="0"/>
    </x:xf>
    <x:xf numFmtId="200" fontId="17" fillId="10" borderId="27" xfId="0" applyNumberFormat="1" applyFont="1" applyFill="1" applyBorder="1" applyAlignment="1">
      <x:alignment horizontal="left" vertical="center" wrapText="0"/>
    </x:xf>
    <x:xf numFmtId="0" fontId="17" fillId="10" borderId="28" xfId="0" applyNumberFormat="1" applyFont="1" applyFill="1" applyBorder="1" applyAlignment="1">
      <x:alignment horizontal="left" vertical="center" wrapText="0"/>
    </x:xf>
    <x:xf numFmtId="0" fontId="17" fillId="10" borderId="29" xfId="0" applyNumberFormat="1" applyFont="1" applyFill="1" applyBorder="1" applyAlignment="1">
      <x:alignment horizontal="left" vertical="center" wrapText="0"/>
    </x:xf>
    <x:xf numFmtId="0" fontId="17" fillId="10" xfId="0" applyNumberFormat="1" applyFont="1" applyFill="1" applyBorder="0" applyAlignment="1">
      <x:alignment horizontal="left" vertical="center" wrapText="0"/>
    </x:xf>
    <x:xf numFmtId="200" fontId="17" fillId="10" xfId="0" applyNumberFormat="1" applyFont="1" applyFill="1" applyBorder="0" applyAlignment="1">
      <x:alignment horizontal="left" vertical="center" wrapText="0"/>
    </x:xf>
    <x:xf numFmtId="0" fontId="17" fillId="10" borderId="30" xfId="0" applyNumberFormat="1" applyFont="1" applyFill="1" applyBorder="1" applyAlignment="1">
      <x:alignment horizontal="left" vertical="center" wrapText="0"/>
    </x:xf>
    <x:xf numFmtId="0" fontId="17" fillId="10" borderId="43" xfId="0" applyNumberFormat="1" applyFont="1" applyFill="1" applyBorder="1" applyAlignment="1">
      <x:alignment horizontal="left" vertical="center" wrapText="0"/>
    </x:xf>
    <x:xf numFmtId="0" fontId="17" fillId="10" borderId="45" xfId="0" applyNumberFormat="1" applyFont="1" applyFill="1" applyBorder="1" applyAlignment="1">
      <x:alignment horizontal="left" vertical="center" wrapText="0"/>
    </x:xf>
    <x:xf numFmtId="200" fontId="17" fillId="10" borderId="27" xfId="0" applyNumberFormat="1" applyFont="1" applyFill="1" applyBorder="1" applyAlignment="1">
      <x:alignment horizontal="left" vertical="center" wrapText="1"/>
    </x:xf>
    <x:xf numFmtId="0" fontId="17" fillId="10" borderId="28" xfId="0" applyNumberFormat="1" applyFont="1" applyFill="1" applyBorder="1" applyAlignment="1">
      <x:alignment horizontal="left" vertical="center" wrapText="1"/>
    </x:xf>
    <x:xf numFmtId="200" fontId="17" fillId="10" xfId="0" applyNumberFormat="1" applyFont="1" applyFill="1" applyBorder="0" applyAlignment="1">
      <x:alignment horizontal="left" vertical="center" wrapText="1"/>
    </x:xf>
    <x:xf numFmtId="0" fontId="17" fillId="10" borderId="30" xfId="0" applyNumberFormat="1" applyFont="1" applyFill="1" applyBorder="1" applyAlignment="1">
      <x:alignment horizontal="left" vertical="center" wrapText="1"/>
    </x:xf>
    <x:xf numFmtId="200" fontId="17" fillId="10" borderId="14" xfId="0" applyNumberFormat="1" applyFont="1" applyFill="1" applyBorder="1" applyAlignment="1">
      <x:alignment horizontal="left" vertical="center" wrapText="1"/>
    </x:xf>
    <x:xf numFmtId="0" fontId="17" fillId="10" borderId="45" xfId="0" applyNumberFormat="1" applyFont="1" applyFill="1" applyBorder="1" applyAlignment="1">
      <x:alignment horizontal="left" vertical="center" wrapText="1"/>
    </x:xf>
    <x:xf numFmtId="200" fontId="17" fillId="10" borderId="0" xfId="0" applyNumberFormat="1" applyFont="1" applyFill="1" applyBorder="1" applyAlignment="1">
      <x:alignment horizontal="left" vertical="center" wrapText="1"/>
    </x:xf>
    <x:xf numFmtId="200" fontId="17" fillId="10" xfId="0" applyNumberFormat="1" applyFont="1" applyFill="1" applyBorder="0" applyAlignment="1">
      <x:alignment vertical="center" wrapText="1"/>
    </x:xf>
    <x:xf numFmtId="200" fontId="17" fillId="10" borderId="32" xfId="0" applyNumberFormat="1" applyFont="1" applyFill="1" applyBorder="1" applyAlignment="1">
      <x:alignment vertical="center" wrapText="1"/>
    </x:xf>
    <x:xf numFmtId="0" fontId="10" fillId="10" borderId="2" xfId="0" applyNumberFormat="1" applyFont="1" applyFill="1" applyBorder="1" applyAlignment="1">
      <x:alignment horizontal="left" vertical="center" wrapText="0"/>
    </x:xf>
    <x:xf numFmtId="0" fontId="10" fillId="10" borderId="3" xfId="0" applyNumberFormat="1" applyFont="1" applyFill="1" applyBorder="1" applyAlignment="1">
      <x:alignment horizontal="left" vertical="center" wrapText="0"/>
    </x:xf>
    <x:xf numFmtId="0" fontId="10" fillId="10" borderId="4" xfId="0" applyNumberFormat="1" applyFont="1" applyFill="1" applyBorder="1" applyAlignment="1">
      <x:alignment horizontal="left" vertical="center" wrapText="0"/>
    </x:xf>
    <x:xf numFmtId="0" fontId="11" fillId="10" borderId="2" xfId="0" applyNumberFormat="1" applyFont="1" applyFill="1" applyBorder="1" applyAlignment="1">
      <x:alignment horizontal="left" vertical="center" wrapText="0"/>
    </x:xf>
    <x:xf numFmtId="0" fontId="11" fillId="10" borderId="3" xfId="0" applyNumberFormat="1" applyFont="1" applyFill="1" applyBorder="1" applyAlignment="1">
      <x:alignment horizontal="left" vertical="center" wrapText="0"/>
    </x:xf>
    <x:xf numFmtId="0" fontId="11" fillId="10" borderId="4" xfId="0" applyNumberFormat="1" applyFont="1" applyFill="1" applyBorder="1" applyAlignment="1">
      <x:alignment horizontal="left" vertical="center" wrapText="0"/>
    </x:xf>
    <x:xf numFmtId="0" fontId="26" fillId="12" borderId="0" xfId="0" applyNumberFormat="1" applyFont="1" applyFill="1" applyBorder="1" applyAlignment="1">
      <x:alignment vertical="center"/>
    </x:xf>
    <x:xf numFmtId="0" fontId="26" fillId="12" borderId="0" xfId="0" applyNumberFormat="1" applyFont="1" applyFill="1" applyBorder="1" applyAlignment="1">
      <x:alignment horizontal="left" vertical="center"/>
    </x:xf>
    <x:xf numFmtId="0" fontId="11" fillId="12" borderId="8" xfId="0" applyNumberFormat="1" applyFont="1" applyFill="1" applyBorder="1" applyAlignment="1">
      <x:alignment horizontal="left" vertical="center" wrapText="0"/>
    </x:xf>
    <x:xf numFmtId="0" fontId="11" fillId="12" borderId="9" xfId="0" applyNumberFormat="1" applyFont="1" applyFill="1" applyBorder="1" applyAlignment="1">
      <x:alignment horizontal="left" vertical="center" wrapText="0"/>
    </x:xf>
    <x:xf numFmtId="0" fontId="11" fillId="12" borderId="10" xfId="0" applyNumberFormat="1" applyFont="1" applyFill="1" applyBorder="1" applyAlignment="1">
      <x:alignment horizontal="left" vertical="center" wrapText="0"/>
    </x:xf>
    <x:xf numFmtId="0" fontId="24" fillId="12" borderId="8" xfId="0" applyNumberFormat="1" applyFont="1" applyFill="1" applyBorder="1" applyAlignment="1">
      <x:alignment horizontal="left" vertical="center" wrapText="0"/>
    </x:xf>
    <x:xf numFmtId="0" fontId="24" fillId="12" borderId="9" xfId="0" applyNumberFormat="1" applyFont="1" applyFill="1" applyBorder="1" applyAlignment="1">
      <x:alignment horizontal="left" vertical="center" wrapText="0"/>
    </x:xf>
    <x:xf numFmtId="0" fontId="24" fillId="12" borderId="10" xfId="0" applyNumberFormat="1" applyFont="1" applyFill="1" applyBorder="1" applyAlignment="1">
      <x:alignment horizontal="left" vertical="center" wrapText="0"/>
    </x:xf>
    <x:xf numFmtId="0" fontId="17" fillId="10" borderId="31" xfId="0" applyNumberFormat="1" applyFont="1" applyFill="1" applyBorder="1" applyAlignment="1">
      <x:alignment horizontal="left" vertical="center" wrapText="0"/>
    </x:xf>
    <x:xf numFmtId="0" fontId="17" fillId="10" borderId="32" xfId="0" applyNumberFormat="1" applyFont="1" applyFill="1" applyBorder="1" applyAlignment="1">
      <x:alignment horizontal="left" vertical="center" wrapText="0"/>
    </x:xf>
    <x:xf numFmtId="0" fontId="17" fillId="10" borderId="33" xfId="0" applyNumberFormat="1" applyFont="1" applyFill="1" applyBorder="1" applyAlignment="1">
      <x:alignment horizontal="left" vertical="center" wrapText="0"/>
    </x:xf>
    <x:xf numFmtId="0" fontId="17" fillId="10" borderId="31" xfId="0" applyNumberFormat="1" applyFont="1" applyFill="1" applyBorder="1" applyAlignment="1">
      <x:alignment horizontal="left" vertical="center" wrapText="1"/>
    </x:xf>
    <x:xf numFmtId="0" fontId="17" fillId="10" borderId="32" xfId="0" applyNumberFormat="1" applyFont="1" applyFill="1" applyBorder="1" applyAlignment="1">
      <x:alignment horizontal="left" vertical="center" wrapText="1"/>
    </x:xf>
    <x:xf numFmtId="0" fontId="17" fillId="10" borderId="33" xfId="0" applyNumberFormat="1" applyFont="1" applyFill="1" applyBorder="1" applyAlignment="1">
      <x:alignment horizontal="left" vertical="center" wrapText="1"/>
    </x:xf>
    <x:xf numFmtId="0" fontId="17" fillId="13" borderId="27" xfId="0" applyNumberFormat="1" applyFont="1" applyFill="1" applyBorder="1" applyAlignment="1">
      <x:alignment horizontal="left" vertical="center" wrapText="1"/>
    </x:xf>
    <x:xf numFmtId="0" fontId="17" fillId="13" xfId="0" applyNumberFormat="1" applyFont="1" applyFill="1" applyBorder="0" applyAlignment="1">
      <x:alignment horizontal="left" vertical="center" wrapText="1"/>
    </x:xf>
    <x:xf numFmtId="0" fontId="17" fillId="13" borderId="32" xfId="0" applyNumberFormat="1" applyFont="1" applyFill="1" applyBorder="1" applyAlignment="1">
      <x:alignment horizontal="left" vertical="center" wrapText="1"/>
    </x:xf>
    <x:xf numFmtId="0" fontId="11" fillId="11" borderId="2" xfId="0" applyNumberFormat="1" applyFont="1" applyFill="1" applyBorder="1" applyAlignment="1">
      <x:alignment horizontal="left" vertical="center" wrapText="0"/>
    </x:xf>
    <x:xf numFmtId="0" fontId="11" fillId="11" borderId="3" xfId="0" applyNumberFormat="1" applyFont="1" applyFill="1" applyBorder="1" applyAlignment="1">
      <x:alignment horizontal="left" vertical="center" wrapText="0"/>
    </x:xf>
    <x:xf numFmtId="0" fontId="11" fillId="11" borderId="4" xfId="0" applyNumberFormat="1" applyFont="1" applyFill="1" applyBorder="1" applyAlignment="1">
      <x:alignment horizontal="left" vertical="center" wrapText="0"/>
    </x:xf>
    <x:xf numFmtId="0" fontId="16" fillId="11" borderId="2" xfId="0" applyNumberFormat="1" applyFont="1" applyFill="1" applyBorder="1" applyAlignment="1">
      <x:alignment horizontal="left" vertical="center" wrapText="0"/>
    </x:xf>
    <x:xf numFmtId="0" fontId="16" fillId="11" borderId="3" xfId="0" applyNumberFormat="1" applyFont="1" applyFill="1" applyBorder="1" applyAlignment="1">
      <x:alignment horizontal="left" vertical="center" wrapText="0"/>
    </x:xf>
    <x:xf numFmtId="0" fontId="16" fillId="11" borderId="4" xfId="0" applyNumberFormat="1" applyFont="1" applyFill="1" applyBorder="1" applyAlignment="1">
      <x:alignment horizontal="left" vertical="center" wrapText="0"/>
    </x:xf>
    <x:xf numFmtId="0" fontId="16" fillId="11" borderId="2" xfId="0" applyNumberFormat="1" applyFont="1" applyFill="1" applyBorder="1" applyAlignment="1">
      <x:alignment horizontal="center" vertical="center" wrapText="0"/>
    </x:xf>
    <x:xf numFmtId="0" fontId="16" fillId="11" borderId="3" xfId="0" applyNumberFormat="1" applyFont="1" applyFill="1" applyBorder="1" applyAlignment="1">
      <x:alignment horizontal="center" vertical="center" wrapText="0"/>
    </x:xf>
    <x:xf numFmtId="0" fontId="16" fillId="11" borderId="4" xfId="0" applyNumberFormat="1" applyFont="1" applyFill="1" applyBorder="1" applyAlignment="1">
      <x:alignment horizontal="center" vertical="center" wrapText="0"/>
    </x:xf>
    <x:xf numFmtId="0" fontId="11" fillId="11" borderId="0" xfId="0" applyNumberFormat="1" applyFont="1" applyFill="1" applyBorder="1" applyAlignment="1">
      <x:alignment horizontal="left" vertical="center" wrapText="0"/>
    </x:xf>
    <x:xf numFmtId="0" fontId="16" fillId="11" borderId="0" xfId="0" applyNumberFormat="1" applyFont="1" applyFill="1" applyBorder="1" applyAlignment="1">
      <x:alignment horizontal="left" vertical="center" wrapText="0"/>
    </x:xf>
    <x:xf numFmtId="0" fontId="27" fillId="14" borderId="0" xfId="0" applyNumberFormat="1" applyFont="1" applyFill="1" applyBorder="1" applyAlignment="1">
      <x:alignment vertical="center"/>
    </x:xf>
    <x:xf numFmtId="0" fontId="27" fillId="14" borderId="0" xfId="0" applyNumberFormat="1" applyFont="1" applyFill="1" applyBorder="1" applyAlignment="1">
      <x:alignment vertical="center" wrapText="1"/>
    </x:xf>
    <x:xf numFmtId="0" fontId="27" fillId="14" borderId="0" xfId="0" applyNumberFormat="1" applyFont="1" applyFill="1" applyBorder="1" applyAlignment="1">
      <x:alignment horizontal="center" vertical="center" wrapText="1"/>
    </x:xf>
    <x:xf numFmtId="0" fontId="11" fillId="15" borderId="11" xfId="0" applyNumberFormat="1" applyFont="1" applyFill="1" applyBorder="1" applyAlignment="1">
      <x:alignment horizontal="left" vertical="center" wrapText="0"/>
    </x:xf>
    <x:xf numFmtId="0" fontId="19" fillId="15" borderId="11" xfId="0" applyNumberFormat="1" applyFont="1" applyFill="1" applyBorder="1" applyAlignment="1">
      <x:alignment horizontal="left" vertical="center" wrapText="0"/>
    </x:xf>
    <x:xf numFmtId="0" fontId="19" fillId="15" borderId="0" xfId="0" applyNumberFormat="1" applyFont="1" applyFill="1" applyBorder="1" applyAlignment="1">
      <x:alignment horizontal="left" vertical="center" wrapText="0"/>
    </x:xf>
    <x:xf numFmtId="0" fontId="19" fillId="15" borderId="26" xfId="0" applyNumberFormat="1" applyFont="1" applyFill="1" applyBorder="1" applyAlignment="1">
      <x:alignment horizontal="left" vertical="center" wrapText="0"/>
    </x:xf>
    <x:xf numFmtId="0" fontId="19" fillId="15" borderId="27" xfId="0" applyNumberFormat="1" applyFont="1" applyFill="1" applyBorder="1" applyAlignment="1">
      <x:alignment horizontal="left" vertical="center" wrapText="0"/>
    </x:xf>
    <x:xf numFmtId="0" fontId="19" fillId="15" borderId="28" xfId="0" applyNumberFormat="1" applyFont="1" applyFill="1" applyBorder="1" applyAlignment="1">
      <x:alignment horizontal="left" vertical="center" wrapText="0"/>
    </x:xf>
    <x:xf numFmtId="0" fontId="19" fillId="15" borderId="29" xfId="0" applyNumberFormat="1" applyFont="1" applyFill="1" applyBorder="1" applyAlignment="1">
      <x:alignment horizontal="left" vertical="center" wrapText="0"/>
    </x:xf>
    <x:xf numFmtId="0" fontId="19" fillId="15" xfId="0" applyNumberFormat="1" applyFont="1" applyFill="1" applyBorder="0" applyAlignment="1">
      <x:alignment horizontal="left" vertical="center" wrapText="0"/>
    </x:xf>
    <x:xf numFmtId="0" fontId="19" fillId="15" borderId="30" xfId="0" applyNumberFormat="1" applyFont="1" applyFill="1" applyBorder="1" applyAlignment="1">
      <x:alignment horizontal="left" vertical="center" wrapText="0"/>
    </x:xf>
    <x:xf numFmtId="0" fontId="19" fillId="15" borderId="31" xfId="0" applyNumberFormat="1" applyFont="1" applyFill="1" applyBorder="1" applyAlignment="1">
      <x:alignment horizontal="left" vertical="center" wrapText="0"/>
    </x:xf>
    <x:xf numFmtId="0" fontId="19" fillId="15" borderId="32" xfId="0" applyNumberFormat="1" applyFont="1" applyFill="1" applyBorder="1" applyAlignment="1">
      <x:alignment horizontal="left" vertical="center" wrapText="0"/>
    </x:xf>
    <x:xf numFmtId="0" fontId="19" fillId="15" borderId="33" xfId="0" applyNumberFormat="1" applyFont="1" applyFill="1" applyBorder="1" applyAlignment="1">
      <x:alignment horizontal="left" vertical="center" wrapText="0"/>
    </x:xf>
    <x:xf numFmtId="0" fontId="19" fillId="15" borderId="26" xfId="0" applyNumberFormat="1" applyFont="1" applyFill="1" applyBorder="1" applyAlignment="1">
      <x:alignment horizontal="left" vertical="center" wrapText="1"/>
    </x:xf>
    <x:xf numFmtId="0" fontId="19" fillId="15" borderId="27" xfId="0" applyNumberFormat="1" applyFont="1" applyFill="1" applyBorder="1" applyAlignment="1">
      <x:alignment horizontal="left" vertical="center" wrapText="1"/>
    </x:xf>
    <x:xf numFmtId="0" fontId="19" fillId="15" borderId="28" xfId="0" applyNumberFormat="1" applyFont="1" applyFill="1" applyBorder="1" applyAlignment="1">
      <x:alignment horizontal="left" vertical="center" wrapText="1"/>
    </x:xf>
    <x:xf numFmtId="0" fontId="19" fillId="15" borderId="29" xfId="0" applyNumberFormat="1" applyFont="1" applyFill="1" applyBorder="1" applyAlignment="1">
      <x:alignment horizontal="left" vertical="center" wrapText="1"/>
    </x:xf>
    <x:xf numFmtId="0" fontId="19" fillId="15" xfId="0" applyNumberFormat="1" applyFont="1" applyFill="1" applyBorder="0" applyAlignment="1">
      <x:alignment horizontal="left" vertical="center" wrapText="1"/>
    </x:xf>
    <x:xf numFmtId="0" fontId="19" fillId="15" borderId="30" xfId="0" applyNumberFormat="1" applyFont="1" applyFill="1" applyBorder="1" applyAlignment="1">
      <x:alignment horizontal="left" vertical="center" wrapText="1"/>
    </x:xf>
    <x:xf numFmtId="0" fontId="19" fillId="15" borderId="31" xfId="0" applyNumberFormat="1" applyFont="1" applyFill="1" applyBorder="1" applyAlignment="1">
      <x:alignment horizontal="left" vertical="center" wrapText="1"/>
    </x:xf>
    <x:xf numFmtId="0" fontId="19" fillId="15" borderId="32" xfId="0" applyNumberFormat="1" applyFont="1" applyFill="1" applyBorder="1" applyAlignment="1">
      <x:alignment horizontal="left" vertical="center" wrapText="1"/>
    </x:xf>
    <x:xf numFmtId="0" fontId="19" fillId="15" borderId="33" xfId="0" applyNumberFormat="1" applyFont="1" applyFill="1" applyBorder="1" applyAlignment="1">
      <x:alignment horizontal="left" vertical="center" wrapText="1"/>
    </x:xf>
    <x:xf numFmtId="0" fontId="19" fillId="15" borderId="26" xfId="0" applyNumberFormat="1" applyFont="1" applyFill="1" applyBorder="1" applyAlignment="1">
      <x:alignment horizontal="center" vertical="center" wrapText="1"/>
    </x:xf>
    <x:xf numFmtId="0" fontId="19" fillId="15" borderId="27" xfId="0" applyNumberFormat="1" applyFont="1" applyFill="1" applyBorder="1" applyAlignment="1">
      <x:alignment horizontal="center" vertical="center" wrapText="1"/>
    </x:xf>
    <x:xf numFmtId="0" fontId="19" fillId="15" borderId="28" xfId="0" applyNumberFormat="1" applyFont="1" applyFill="1" applyBorder="1" applyAlignment="1">
      <x:alignment horizontal="center" vertical="center" wrapText="1"/>
    </x:xf>
    <x:xf numFmtId="0" fontId="19" fillId="15" borderId="31" xfId="0" applyNumberFormat="1" applyFont="1" applyFill="1" applyBorder="1" applyAlignment="1">
      <x:alignment horizontal="center" vertical="center" wrapText="1"/>
    </x:xf>
    <x:xf numFmtId="0" fontId="19" fillId="15" borderId="32" xfId="0" applyNumberFormat="1" applyFont="1" applyFill="1" applyBorder="1" applyAlignment="1">
      <x:alignment horizontal="center" vertical="center" wrapText="1"/>
    </x:xf>
    <x:xf numFmtId="0" fontId="19" fillId="15" borderId="33" xfId="0" applyNumberFormat="1" applyFont="1" applyFill="1" applyBorder="1" applyAlignment="1">
      <x:alignment horizontal="center" vertical="center" wrapText="1"/>
    </x:xf>
    <x:xf numFmtId="0" fontId="11" fillId="15" borderId="12" xfId="0" applyNumberFormat="1" applyFont="1" applyFill="1" applyBorder="1" applyAlignment="1">
      <x:alignment horizontal="left" vertical="center" wrapText="0"/>
    </x:xf>
    <x:xf numFmtId="0" fontId="19" fillId="15" borderId="12" xfId="0" applyNumberFormat="1" applyFont="1" applyFill="1" applyBorder="1" applyAlignment="1">
      <x:alignment horizontal="left" vertical="center" wrapText="0"/>
    </x:xf>
    <x:xf numFmtId="0" fontId="19" fillId="15" borderId="0" xfId="0" applyNumberFormat="1" applyFont="1" applyFill="1" applyBorder="1" applyAlignment="1">
      <x:alignment vertical="center"/>
    </x:xf>
    <x:xf numFmtId="0" fontId="19" fillId="15" borderId="42" xfId="0" applyNumberFormat="1" applyFont="1" applyFill="1" applyBorder="1" applyAlignment="1">
      <x:alignment horizontal="left" vertical="center" wrapText="0"/>
    </x:xf>
    <x:xf numFmtId="0" fontId="19" fillId="15" borderId="27" xfId="0" applyNumberFormat="1" applyFont="1" applyFill="1" applyBorder="1" applyAlignment="1">
      <x:alignment vertical="center"/>
    </x:xf>
    <x:xf numFmtId="0" fontId="19" fillId="15" borderId="28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/>
    </x:xf>
    <x:xf numFmtId="0" fontId="19" fillId="15" borderId="30" xfId="0" applyNumberFormat="1" applyFont="1" applyFill="1" applyBorder="1" applyAlignment="1">
      <x:alignment vertical="center"/>
    </x:xf>
    <x:xf numFmtId="0" fontId="19" fillId="15" borderId="46" xfId="0" applyNumberFormat="1" applyFont="1" applyFill="1" applyBorder="1" applyAlignment="1">
      <x:alignment horizontal="left" vertical="center" wrapText="0"/>
    </x:xf>
    <x:xf numFmtId="0" fontId="19" fillId="15" borderId="32" xfId="0" applyNumberFormat="1" applyFont="1" applyFill="1" applyBorder="1" applyAlignment="1">
      <x:alignment vertical="center"/>
    </x:xf>
    <x:xf numFmtId="0" fontId="19" fillId="15" borderId="33" xfId="0" applyNumberFormat="1" applyFont="1" applyFill="1" applyBorder="1" applyAlignment="1">
      <x:alignment vertical="center"/>
    </x:xf>
    <x:xf numFmtId="0" fontId="19" fillId="15" borderId="42" xfId="0" applyNumberFormat="1" applyFont="1" applyFill="1" applyBorder="1" applyAlignment="1">
      <x:alignment horizontal="left" vertical="center" wrapText="1"/>
    </x:xf>
    <x:xf numFmtId="0" fontId="19" fillId="15" borderId="27" xfId="0" applyNumberFormat="1" applyFont="1" applyFill="1" applyBorder="1" applyAlignment="1">
      <x:alignment vertical="center" wrapText="1"/>
    </x:xf>
    <x:xf numFmtId="0" fontId="19" fillId="15" borderId="28" xfId="0" applyNumberFormat="1" applyFont="1" applyFill="1" applyBorder="1" applyAlignment="1">
      <x:alignment vertical="center" wrapText="1"/>
    </x:xf>
    <x:xf numFmtId="0" fontId="19" fillId="15" borderId="12" xfId="0" applyNumberFormat="1" applyFont="1" applyFill="1" applyBorder="1" applyAlignment="1">
      <x:alignment horizontal="left" vertical="center" wrapText="1"/>
    </x:xf>
    <x:xf numFmtId="0" fontId="19" fillId="15" xfId="0" applyNumberFormat="1" applyFont="1" applyFill="1" applyBorder="0" applyAlignment="1">
      <x:alignment vertical="center" wrapText="1"/>
    </x:xf>
    <x:xf numFmtId="0" fontId="19" fillId="15" borderId="30" xfId="0" applyNumberFormat="1" applyFont="1" applyFill="1" applyBorder="1" applyAlignment="1">
      <x:alignment vertical="center" wrapText="1"/>
    </x:xf>
    <x:xf numFmtId="0" fontId="19" fillId="15" borderId="46" xfId="0" applyNumberFormat="1" applyFont="1" applyFill="1" applyBorder="1" applyAlignment="1">
      <x:alignment horizontal="left" vertical="center" wrapText="1"/>
    </x:xf>
    <x:xf numFmtId="0" fontId="19" fillId="15" borderId="32" xfId="0" applyNumberFormat="1" applyFont="1" applyFill="1" applyBorder="1" applyAlignment="1">
      <x:alignment vertical="center" wrapText="1"/>
    </x:xf>
    <x:xf numFmtId="0" fontId="19" fillId="15" borderId="33" xfId="0" applyNumberFormat="1" applyFont="1" applyFill="1" applyBorder="1" applyAlignment="1">
      <x:alignment vertical="center" wrapText="1"/>
    </x:xf>
    <x:xf numFmtId="0" fontId="19" fillId="15" borderId="42" xfId="0" applyNumberFormat="1" applyFont="1" applyFill="1" applyBorder="1" applyAlignment="1">
      <x:alignment horizontal="center" vertical="center" wrapText="1"/>
    </x:xf>
    <x:xf numFmtId="0" fontId="19" fillId="15" borderId="12" xfId="0" applyNumberFormat="1" applyFont="1" applyFill="1" applyBorder="1" applyAlignment="1">
      <x:alignment horizontal="center" vertical="center" wrapText="1"/>
    </x:xf>
    <x:xf numFmtId="0" fontId="19" fillId="15" borderId="46" xfId="0" applyNumberFormat="1" applyFont="1" applyFill="1" applyBorder="1" applyAlignment="1">
      <x:alignment horizontal="center" vertical="center" wrapText="1"/>
    </x:xf>
    <x:xf numFmtId="0" fontId="19" fillId="15" borderId="0" xfId="0" applyNumberFormat="1" applyFont="1" applyFill="1" applyBorder="1" applyAlignment="1">
      <x:alignment horizontal="left" vertical="center" wrapText="1"/>
    </x:xf>
    <x:xf numFmtId="0" fontId="19" fillId="15" borderId="0" xfId="0" applyNumberFormat="1" applyFont="1" applyFill="1" applyBorder="1" applyAlignment="1">
      <x:alignment horizontal="center" vertical="center" wrapText="1"/>
    </x:xf>
    <x:xf numFmtId="0" fontId="19" fillId="15" borderId="26" xfId="0" applyNumberFormat="1" applyFont="1" applyFill="1" applyBorder="1" applyAlignment="1">
      <x:alignment vertical="center"/>
    </x:xf>
    <x:xf numFmtId="0" fontId="19" fillId="15" borderId="29" xfId="0" applyNumberFormat="1" applyFont="1" applyFill="1" applyBorder="1" applyAlignment="1">
      <x:alignment vertical="center"/>
    </x:xf>
    <x:xf numFmtId="0" fontId="19" fillId="15" borderId="31" xfId="0" applyNumberFormat="1" applyFont="1" applyFill="1" applyBorder="1" applyAlignment="1">
      <x:alignment vertical="center"/>
    </x:xf>
    <x:xf numFmtId="0" fontId="19" fillId="15" borderId="26" xfId="0" applyNumberFormat="1" applyFont="1" applyFill="1" applyBorder="1" applyAlignment="1">
      <x:alignment vertical="center" wrapText="1"/>
    </x:xf>
    <x:xf numFmtId="0" fontId="19" fillId="15" borderId="29" xfId="0" applyNumberFormat="1" applyFont="1" applyFill="1" applyBorder="1" applyAlignment="1">
      <x:alignment vertical="center" wrapText="1"/>
    </x:xf>
    <x:xf numFmtId="0" fontId="19" fillId="15" borderId="31" xfId="0" applyNumberFormat="1" applyFont="1" applyFill="1" applyBorder="1" applyAlignment="1">
      <x:alignment vertical="center" wrapText="1"/>
    </x:xf>
    <x:xf numFmtId="0" fontId="19" fillId="14" borderId="26" xfId="0" applyNumberFormat="1" applyFont="1" applyFill="1" applyBorder="1" applyAlignment="1">
      <x:alignment horizontal="center" vertical="center" wrapText="1"/>
    </x:xf>
    <x:xf numFmtId="0" fontId="19" fillId="14" borderId="27" xfId="0" applyNumberFormat="1" applyFont="1" applyFill="1" applyBorder="1" applyAlignment="1">
      <x:alignment horizontal="center" vertical="center" wrapText="1"/>
    </x:xf>
    <x:xf numFmtId="0" fontId="19" fillId="14" borderId="28" xfId="0" applyNumberFormat="1" applyFont="1" applyFill="1" applyBorder="1" applyAlignment="1">
      <x:alignment horizontal="center" vertical="center" wrapText="1"/>
    </x:xf>
    <x:xf numFmtId="0" fontId="19" fillId="14" borderId="29" xfId="0" applyNumberFormat="1" applyFont="1" applyFill="1" applyBorder="1" applyAlignment="1">
      <x:alignment horizontal="center" vertical="center" wrapText="1"/>
    </x:xf>
    <x:xf numFmtId="0" fontId="19" fillId="14" xfId="0" applyNumberFormat="1" applyFont="1" applyFill="1" applyBorder="0" applyAlignment="1">
      <x:alignment horizontal="center" vertical="center" wrapText="1"/>
    </x:xf>
    <x:xf numFmtId="0" fontId="19" fillId="14" borderId="30" xfId="0" applyNumberFormat="1" applyFont="1" applyFill="1" applyBorder="1" applyAlignment="1">
      <x:alignment horizontal="center" vertical="center" wrapText="1"/>
    </x:xf>
    <x:xf numFmtId="0" fontId="19" fillId="14" borderId="31" xfId="0" applyNumberFormat="1" applyFont="1" applyFill="1" applyBorder="1" applyAlignment="1">
      <x:alignment horizontal="center" vertical="center" wrapText="1"/>
    </x:xf>
    <x:xf numFmtId="0" fontId="19" fillId="14" borderId="32" xfId="0" applyNumberFormat="1" applyFont="1" applyFill="1" applyBorder="1" applyAlignment="1">
      <x:alignment horizontal="center" vertical="center" wrapText="1"/>
    </x:xf>
    <x:xf numFmtId="0" fontId="19" fillId="14" borderId="33" xfId="0" applyNumberFormat="1" applyFont="1" applyFill="1" applyBorder="1" applyAlignment="1">
      <x:alignment horizontal="center" vertical="center" wrapText="1"/>
    </x:xf>
    <x:xf numFmtId="0" fontId="19" fillId="13" borderId="26" xfId="0" applyNumberFormat="1" applyFont="1" applyFill="1" applyBorder="1" applyAlignment="1">
      <x:alignment horizontal="center" vertical="center" wrapText="1"/>
    </x:xf>
    <x:xf numFmtId="0" fontId="19" fillId="13" borderId="42" xfId="0" applyNumberFormat="1" applyFont="1" applyFill="1" applyBorder="1" applyAlignment="1">
      <x:alignment horizontal="center" vertical="center" wrapText="1"/>
    </x:xf>
    <x:xf numFmtId="0" fontId="19" fillId="13" borderId="27" xfId="0" applyNumberFormat="1" applyFont="1" applyFill="1" applyBorder="1" applyAlignment="1">
      <x:alignment horizontal="center" vertical="center" wrapText="1"/>
    </x:xf>
    <x:xf numFmtId="0" fontId="19" fillId="13" borderId="28" xfId="0" applyNumberFormat="1" applyFont="1" applyFill="1" applyBorder="1" applyAlignment="1">
      <x:alignment horizontal="center" vertical="center" wrapText="1"/>
    </x:xf>
    <x:xf numFmtId="0" fontId="19" fillId="13" borderId="29" xfId="0" applyNumberFormat="1" applyFont="1" applyFill="1" applyBorder="1" applyAlignment="1">
      <x:alignment horizontal="center" vertical="center" wrapText="1"/>
    </x:xf>
    <x:xf numFmtId="0" fontId="19" fillId="13" borderId="12" xfId="0" applyNumberFormat="1" applyFont="1" applyFill="1" applyBorder="1" applyAlignment="1">
      <x:alignment horizontal="center" vertical="center" wrapText="1"/>
    </x:xf>
    <x:xf numFmtId="0" fontId="19" fillId="13" xfId="0" applyNumberFormat="1" applyFont="1" applyFill="1" applyBorder="0" applyAlignment="1">
      <x:alignment horizontal="center" vertical="center" wrapText="1"/>
    </x:xf>
    <x:xf numFmtId="0" fontId="19" fillId="13" borderId="30" xfId="0" applyNumberFormat="1" applyFont="1" applyFill="1" applyBorder="1" applyAlignment="1">
      <x:alignment horizontal="center" vertical="center" wrapText="1"/>
    </x:xf>
    <x:xf numFmtId="0" fontId="19" fillId="13" borderId="31" xfId="0" applyNumberFormat="1" applyFont="1" applyFill="1" applyBorder="1" applyAlignment="1">
      <x:alignment horizontal="center" vertical="center" wrapText="1"/>
    </x:xf>
    <x:xf numFmtId="0" fontId="19" fillId="13" borderId="46" xfId="0" applyNumberFormat="1" applyFont="1" applyFill="1" applyBorder="1" applyAlignment="1">
      <x:alignment horizontal="center" vertical="center" wrapText="1"/>
    </x:xf>
    <x:xf numFmtId="0" fontId="19" fillId="13" borderId="32" xfId="0" applyNumberFormat="1" applyFont="1" applyFill="1" applyBorder="1" applyAlignment="1">
      <x:alignment horizontal="center" vertical="center" wrapText="1"/>
    </x:xf>
    <x:xf numFmtId="0" fontId="19" fillId="13" borderId="33" xfId="0" applyNumberFormat="1" applyFont="1" applyFill="1" applyBorder="1" applyAlignment="1">
      <x:alignment horizontal="center" vertical="center" wrapText="1"/>
    </x:xf>
    <x:xf numFmtId="0" fontId="19" fillId="13" borderId="0" xfId="0" applyNumberFormat="1" applyFont="1" applyFill="1" applyBorder="1" applyAlignment="1">
      <x:alignment horizontal="center" vertical="center" wrapText="1"/>
    </x:xf>
    <x:xf numFmtId="0" fontId="24" fillId="12" borderId="0" xfId="0" applyNumberFormat="1" applyFont="1" applyFill="1" applyBorder="1" applyAlignment="1">
      <x:alignment vertical="center" wrapText="1"/>
    </x:xf>
    <x:xf numFmtId="0" fontId="24" fillId="12" borderId="11" xfId="0" applyNumberFormat="1" applyFont="1" applyFill="1" applyBorder="1" applyAlignment="1">
      <x:alignment horizontal="center" vertical="center" wrapText="1"/>
    </x:xf>
    <x:xf numFmtId="0" fontId="24" fillId="12" borderId="0" xfId="0" applyNumberFormat="1" applyFont="1" applyFill="1" applyBorder="1" applyAlignment="1">
      <x:alignment horizontal="center" vertical="center" wrapText="1"/>
    </x:xf>
    <x:xf numFmtId="0" fontId="24" fillId="12" borderId="12" xfId="0" applyNumberFormat="1" applyFont="1" applyFill="1" applyBorder="1" applyAlignment="1">
      <x:alignment horizontal="center" vertical="center" wrapText="1"/>
    </x:xf>
    <x:xf numFmtId="0" fontId="17" fillId="10" borderId="47" xfId="0" applyNumberFormat="1" applyFont="1" applyFill="1" applyBorder="1" applyAlignment="1">
      <x:alignment horizontal="left" vertical="center" wrapText="0"/>
    </x:xf>
    <x:xf numFmtId="0" fontId="17" fillId="10" borderId="48" xfId="0" applyNumberFormat="1" applyFont="1" applyFill="1" applyBorder="1" applyAlignment="1">
      <x:alignment horizontal="left" vertical="center" wrapText="0"/>
    </x:xf>
    <x:xf numFmtId="0" fontId="17" fillId="10" borderId="49" xfId="0" applyNumberFormat="1" applyFont="1" applyFill="1" applyBorder="1" applyAlignment="1">
      <x:alignment horizontal="left" vertical="center" wrapText="0"/>
    </x:xf>
    <x:xf numFmtId="0" fontId="17" fillId="10" borderId="47" xfId="0" applyNumberFormat="1" applyFont="1" applyFill="1" applyBorder="1" applyAlignment="1">
      <x:alignment horizontal="left" vertical="center" wrapText="1"/>
    </x:xf>
    <x:xf numFmtId="0" fontId="17" fillId="10" borderId="48" xfId="0" applyNumberFormat="1" applyFont="1" applyFill="1" applyBorder="1" applyAlignment="1">
      <x:alignment horizontal="left" vertical="center" wrapText="1"/>
    </x:xf>
    <x:xf numFmtId="0" fontId="17" fillId="10" borderId="49" xfId="0" applyNumberFormat="1" applyFont="1" applyFill="1" applyBorder="1" applyAlignment="1">
      <x:alignment horizontal="left" vertical="center" wrapText="1"/>
    </x:xf>
    <x:xf numFmtId="0" fontId="17" fillId="18" borderId="48" xfId="0" applyNumberFormat="1" applyFont="1" applyFill="1" applyBorder="1" applyAlignment="1">
      <x:alignment horizontal="left" vertical="center" wrapText="1"/>
    </x:xf>
    <x:xf numFmtId="0" fontId="17" fillId="18" borderId="49" xfId="0" applyNumberFormat="1" applyFont="1" applyFill="1" applyBorder="1" applyAlignment="1">
      <x:alignment horizontal="left" vertical="center" wrapText="1"/>
    </x:xf>
    <x:xf numFmtId="0" fontId="17" fillId="18" xfId="0" applyNumberFormat="1" applyFont="1" applyFill="1" applyBorder="0" applyAlignment="1">
      <x:alignment vertical="center" wrapText="1"/>
    </x:xf>
    <x:xf numFmtId="0" fontId="17" fillId="18" borderId="30" xfId="0" applyNumberFormat="1" applyFont="1" applyFill="1" applyBorder="1" applyAlignment="1">
      <x:alignment vertical="center" wrapText="1"/>
    </x:xf>
    <x:xf numFmtId="0" fontId="17" fillId="18" borderId="27" xfId="0" applyNumberFormat="1" applyFont="1" applyFill="1" applyBorder="1" applyAlignment="1">
      <x:alignment horizontal="left" vertical="center" wrapText="1"/>
    </x:xf>
    <x:xf numFmtId="0" fontId="17" fillId="18" borderId="28" xfId="0" applyNumberFormat="1" applyFont="1" applyFill="1" applyBorder="1" applyAlignment="1">
      <x:alignment horizontal="left" vertical="center" wrapText="1"/>
    </x:xf>
    <x:xf numFmtId="0" fontId="17" fillId="19" xfId="0" applyNumberFormat="1" applyFont="1" applyFill="1" applyBorder="0" applyAlignment="1">
      <x:alignment vertical="center" wrapText="1"/>
    </x:xf>
    <x:xf numFmtId="0" fontId="17" fillId="19" borderId="30" xfId="0" applyNumberFormat="1" applyFont="1" applyFill="1" applyBorder="1" applyAlignment="1">
      <x:alignment vertical="center" wrapText="1"/>
    </x:xf>
    <x:xf numFmtId="0" fontId="17" fillId="19" borderId="32" xfId="0" applyNumberFormat="1" applyFont="1" applyFill="1" applyBorder="1" applyAlignment="1">
      <x:alignment vertical="center" wrapText="1"/>
    </x:xf>
    <x:xf numFmtId="0" fontId="17" fillId="19" borderId="33" xfId="0" applyNumberFormat="1" applyFont="1" applyFill="1" applyBorder="1" applyAlignment="1">
      <x:alignment vertical="center" wrapText="1"/>
    </x:xf>
    <x:xf numFmtId="0" fontId="24" fillId="12" borderId="0" xfId="0" applyNumberFormat="1" applyFont="1" applyFill="1" applyBorder="1" applyAlignment="1">
      <x:alignment horizontal="center" vertical="center"/>
    </x:xf>
    <x:xf numFmtId="0" fontId="24" fillId="12" borderId="38" xfId="0" applyNumberFormat="1" applyFont="1" applyFill="1" applyBorder="1" applyAlignment="1">
      <x:alignment vertical="center"/>
    </x:xf>
    <x:xf numFmtId="0" fontId="24" fillId="12" borderId="39" xfId="0" applyNumberFormat="1" applyFont="1" applyFill="1" applyBorder="1" applyAlignment="1">
      <x:alignment vertical="center"/>
    </x:xf>
    <x:xf numFmtId="0" fontId="24" fillId="12" borderId="38" xfId="0" applyNumberFormat="1" applyFont="1" applyFill="1" applyBorder="1" applyAlignment="1">
      <x:alignment vertical="center" wrapText="1"/>
    </x:xf>
    <x:xf numFmtId="0" fontId="24" fillId="12" borderId="39" xfId="0" applyNumberFormat="1" applyFont="1" applyFill="1" applyBorder="1" applyAlignment="1">
      <x:alignment vertical="center" wrapText="1"/>
    </x:xf>
    <x:xf numFmtId="0" fontId="11" fillId="19" borderId="0" xfId="0" applyNumberFormat="1" applyFont="1" applyFill="1" applyBorder="1" applyAlignment="1">
      <x:alignment vertical="center"/>
    </x:xf>
    <x:xf numFmtId="0" fontId="19" fillId="19" borderId="0" xfId="0" applyNumberFormat="1" applyFont="1" applyFill="1" applyBorder="1" applyAlignment="1">
      <x:alignment vertical="center"/>
    </x:xf>
    <x:xf numFmtId="0" fontId="19" fillId="19" borderId="50" xfId="0" applyNumberFormat="1" applyFont="1" applyFill="1" applyBorder="1" applyAlignment="1">
      <x:alignment vertical="center"/>
    </x:xf>
    <x:xf numFmtId="0" fontId="19" fillId="19" borderId="51" xfId="0" applyNumberFormat="1" applyFont="1" applyFill="1" applyBorder="1" applyAlignment="1">
      <x:alignment vertical="center"/>
    </x:xf>
    <x:xf numFmtId="0" fontId="19" fillId="19" borderId="52" xfId="0" applyNumberFormat="1" applyFont="1" applyFill="1" applyBorder="1" applyAlignment="1">
      <x:alignment vertical="center"/>
    </x:xf>
    <x:xf numFmtId="0" fontId="19" fillId="19" borderId="50" xfId="0" applyNumberFormat="1" applyFont="1" applyFill="1" applyBorder="1" applyAlignment="1">
      <x:alignment horizontal="center" vertical="center"/>
    </x:xf>
    <x:xf numFmtId="0" fontId="19" fillId="19" borderId="51" xfId="0" applyNumberFormat="1" applyFont="1" applyFill="1" applyBorder="1" applyAlignment="1">
      <x:alignment horizontal="center" vertical="center"/>
    </x:xf>
    <x:xf numFmtId="0" fontId="19" fillId="19" borderId="52" xfId="0" applyNumberFormat="1" applyFont="1" applyFill="1" applyBorder="1" applyAlignment="1">
      <x:alignment horizontal="center" vertical="center"/>
    </x:xf>
    <x:xf numFmtId="0" fontId="25" fillId="14" borderId="0" xfId="0" applyNumberFormat="1" applyFont="1" applyFill="1" applyBorder="1" applyAlignment="1">
      <x:alignment vertical="center"/>
    </x:xf>
    <x:xf numFmtId="0" fontId="25" fillId="14" borderId="0" xfId="0" applyNumberFormat="1" applyFont="1" applyFill="1" applyBorder="1" applyAlignment="1">
      <x:alignment vertical="center" wrapText="1"/>
    </x:xf>
    <x:xf numFmtId="0" fontId="17" fillId="13" borderId="30" xfId="0" applyNumberFormat="1" applyFont="1" applyFill="1" applyBorder="1" applyAlignment="1">
      <x:alignment horizontal="left" vertical="center" wrapText="1"/>
    </x:xf>
    <x:xf numFmtId="0" fontId="19" fillId="13" borderId="0" xfId="0" applyNumberFormat="1" applyFont="1" applyFill="1" applyBorder="1" applyAlignment="1">
      <x:alignment vertical="center"/>
    </x:xf>
    <x:xf numFmtId="0" fontId="19" fillId="13" borderId="0" xfId="0" applyNumberFormat="1" applyFont="1" applyFill="1" applyBorder="1" applyAlignment="1">
      <x:alignment vertical="center" wrapText="1"/>
    </x:xf>
    <x:xf numFmtId="0" fontId="19" fillId="14" borderId="11" xfId="0" applyNumberFormat="1" applyFont="1" applyFill="1" applyBorder="1" applyAlignment="1">
      <x:alignment horizontal="left" vertical="center" wrapText="0"/>
    </x:xf>
    <x:xf numFmtId="0" fontId="19" fillId="14" borderId="0" xfId="0" applyNumberFormat="1" applyFont="1" applyFill="1" applyBorder="1" applyAlignment="1">
      <x:alignment horizontal="left" vertical="center" wrapText="0"/>
    </x:xf>
    <x:xf numFmtId="0" fontId="19" fillId="14" borderId="26" xfId="0" applyNumberFormat="1" applyFont="1" applyFill="1" applyBorder="1" applyAlignment="1">
      <x:alignment horizontal="left" vertical="center" wrapText="0"/>
    </x:xf>
    <x:xf numFmtId="0" fontId="19" fillId="14" borderId="27" xfId="0" applyNumberFormat="1" applyFont="1" applyFill="1" applyBorder="1" applyAlignment="1">
      <x:alignment horizontal="left" vertical="center" wrapText="0"/>
    </x:xf>
    <x:xf numFmtId="0" fontId="19" fillId="14" borderId="28" xfId="0" applyNumberFormat="1" applyFont="1" applyFill="1" applyBorder="1" applyAlignment="1">
      <x:alignment horizontal="left" vertical="center" wrapText="0"/>
    </x:xf>
    <x:xf numFmtId="0" fontId="19" fillId="14" borderId="29" xfId="0" applyNumberFormat="1" applyFont="1" applyFill="1" applyBorder="1" applyAlignment="1">
      <x:alignment horizontal="left" vertical="center" wrapText="0"/>
    </x:xf>
    <x:xf numFmtId="0" fontId="19" fillId="14" xfId="0" applyNumberFormat="1" applyFont="1" applyFill="1" applyBorder="0" applyAlignment="1">
      <x:alignment horizontal="left" vertical="center" wrapText="0"/>
    </x:xf>
    <x:xf numFmtId="0" fontId="19" fillId="14" borderId="30" xfId="0" applyNumberFormat="1" applyFont="1" applyFill="1" applyBorder="1" applyAlignment="1">
      <x:alignment horizontal="left" vertical="center" wrapText="0"/>
    </x:xf>
    <x:xf numFmtId="0" fontId="19" fillId="14" borderId="31" xfId="0" applyNumberFormat="1" applyFont="1" applyFill="1" applyBorder="1" applyAlignment="1">
      <x:alignment horizontal="left" vertical="center" wrapText="0"/>
    </x:xf>
    <x:xf numFmtId="0" fontId="19" fillId="14" borderId="32" xfId="0" applyNumberFormat="1" applyFont="1" applyFill="1" applyBorder="1" applyAlignment="1">
      <x:alignment horizontal="left" vertical="center" wrapText="0"/>
    </x:xf>
    <x:xf numFmtId="0" fontId="19" fillId="14" borderId="33" xfId="0" applyNumberFormat="1" applyFont="1" applyFill="1" applyBorder="1" applyAlignment="1">
      <x:alignment horizontal="left" vertical="center" wrapText="0"/>
    </x:xf>
    <x:xf numFmtId="0" fontId="19" fillId="14" borderId="26" xfId="0" applyNumberFormat="1" applyFont="1" applyFill="1" applyBorder="1" applyAlignment="1">
      <x:alignment horizontal="left" vertical="center" wrapText="1"/>
    </x:xf>
    <x:xf numFmtId="0" fontId="19" fillId="14" borderId="27" xfId="0" applyNumberFormat="1" applyFont="1" applyFill="1" applyBorder="1" applyAlignment="1">
      <x:alignment horizontal="left" vertical="center" wrapText="1"/>
    </x:xf>
    <x:xf numFmtId="0" fontId="19" fillId="14" borderId="28" xfId="0" applyNumberFormat="1" applyFont="1" applyFill="1" applyBorder="1" applyAlignment="1">
      <x:alignment horizontal="left" vertical="center" wrapText="1"/>
    </x:xf>
    <x:xf numFmtId="0" fontId="19" fillId="14" borderId="29" xfId="0" applyNumberFormat="1" applyFont="1" applyFill="1" applyBorder="1" applyAlignment="1">
      <x:alignment horizontal="left" vertical="center" wrapText="1"/>
    </x:xf>
    <x:xf numFmtId="0" fontId="19" fillId="14" xfId="0" applyNumberFormat="1" applyFont="1" applyFill="1" applyBorder="0" applyAlignment="1">
      <x:alignment horizontal="left" vertical="center" wrapText="1"/>
    </x:xf>
    <x:xf numFmtId="0" fontId="19" fillId="14" borderId="30" xfId="0" applyNumberFormat="1" applyFont="1" applyFill="1" applyBorder="1" applyAlignment="1">
      <x:alignment horizontal="left" vertical="center" wrapText="1"/>
    </x:xf>
    <x:xf numFmtId="0" fontId="19" fillId="14" borderId="31" xfId="0" applyNumberFormat="1" applyFont="1" applyFill="1" applyBorder="1" applyAlignment="1">
      <x:alignment horizontal="left" vertical="center" wrapText="1"/>
    </x:xf>
    <x:xf numFmtId="0" fontId="19" fillId="14" borderId="32" xfId="0" applyNumberFormat="1" applyFont="1" applyFill="1" applyBorder="1" applyAlignment="1">
      <x:alignment horizontal="left" vertical="center" wrapText="1"/>
    </x:xf>
    <x:xf numFmtId="0" fontId="19" fillId="14" borderId="33" xfId="0" applyNumberFormat="1" applyFont="1" applyFill="1" applyBorder="1" applyAlignment="1">
      <x:alignment horizontal="left" vertical="center" wrapText="1"/>
    </x:xf>
    <x:xf numFmtId="0" fontId="19" fillId="13" borderId="12" xfId="0" applyNumberFormat="1" applyFont="1" applyFill="1" applyBorder="1" applyAlignment="1">
      <x:alignment horizontal="left" vertical="center" wrapText="0"/>
    </x:xf>
    <x:xf numFmtId="0" fontId="19" fillId="13" borderId="53" xfId="0" applyNumberFormat="1" applyFont="1" applyFill="1" applyBorder="1" applyAlignment="1">
      <x:alignment horizontal="left" vertical="center" wrapText="0"/>
    </x:xf>
    <x:xf numFmtId="0" fontId="19" fillId="13" borderId="27" xfId="0" applyNumberFormat="1" applyFont="1" applyFill="1" applyBorder="1" applyAlignment="1">
      <x:alignment vertical="center"/>
    </x:xf>
    <x:xf numFmtId="0" fontId="19" fillId="13" borderId="28" xfId="0" applyNumberFormat="1" applyFont="1" applyFill="1" applyBorder="1" applyAlignment="1">
      <x:alignment vertical="center"/>
    </x:xf>
    <x:xf numFmtId="0" fontId="19" fillId="13" borderId="54" xfId="0" applyNumberFormat="1" applyFont="1" applyFill="1" applyBorder="1" applyAlignment="1">
      <x:alignment horizontal="left" vertical="center" wrapText="0"/>
    </x:xf>
    <x:xf numFmtId="0" fontId="19" fillId="13" xfId="0" applyNumberFormat="1" applyFont="1" applyFill="1" applyBorder="0" applyAlignment="1">
      <x:alignment vertical="center"/>
    </x:xf>
    <x:xf numFmtId="0" fontId="19" fillId="13" borderId="30" xfId="0" applyNumberFormat="1" applyFont="1" applyFill="1" applyBorder="1" applyAlignment="1">
      <x:alignment vertical="center"/>
    </x:xf>
    <x:xf numFmtId="0" fontId="19" fillId="13" borderId="55" xfId="0" applyNumberFormat="1" applyFont="1" applyFill="1" applyBorder="1" applyAlignment="1">
      <x:alignment horizontal="left" vertical="center" wrapText="0"/>
    </x:xf>
    <x:xf numFmtId="0" fontId="19" fillId="13" borderId="32" xfId="0" applyNumberFormat="1" applyFont="1" applyFill="1" applyBorder="1" applyAlignment="1">
      <x:alignment vertical="center"/>
    </x:xf>
    <x:xf numFmtId="0" fontId="19" fillId="13" borderId="33" xfId="0" applyNumberFormat="1" applyFont="1" applyFill="1" applyBorder="1" applyAlignment="1">
      <x:alignment vertical="center"/>
    </x:xf>
    <x:xf numFmtId="0" fontId="19" fillId="13" borderId="53" xfId="0" applyNumberFormat="1" applyFont="1" applyFill="1" applyBorder="1" applyAlignment="1">
      <x:alignment horizontal="left" vertical="center" wrapText="1"/>
    </x:xf>
    <x:xf numFmtId="0" fontId="19" fillId="13" borderId="27" xfId="0" applyNumberFormat="1" applyFont="1" applyFill="1" applyBorder="1" applyAlignment="1">
      <x:alignment vertical="center" wrapText="1"/>
    </x:xf>
    <x:xf numFmtId="0" fontId="19" fillId="13" borderId="28" xfId="0" applyNumberFormat="1" applyFont="1" applyFill="1" applyBorder="1" applyAlignment="1">
      <x:alignment vertical="center" wrapText="1"/>
    </x:xf>
    <x:xf numFmtId="0" fontId="19" fillId="13" borderId="54" xfId="0" applyNumberFormat="1" applyFont="1" applyFill="1" applyBorder="1" applyAlignment="1">
      <x:alignment horizontal="left" vertical="center" wrapText="1"/>
    </x:xf>
    <x:xf numFmtId="0" fontId="19" fillId="13" xfId="0" applyNumberFormat="1" applyFont="1" applyFill="1" applyBorder="0" applyAlignment="1">
      <x:alignment vertical="center" wrapText="1"/>
    </x:xf>
    <x:xf numFmtId="0" fontId="19" fillId="13" borderId="30" xfId="0" applyNumberFormat="1" applyFont="1" applyFill="1" applyBorder="1" applyAlignment="1">
      <x:alignment vertical="center" wrapText="1"/>
    </x:xf>
    <x:xf numFmtId="0" fontId="19" fillId="13" borderId="55" xfId="0" applyNumberFormat="1" applyFont="1" applyFill="1" applyBorder="1" applyAlignment="1">
      <x:alignment horizontal="left" vertical="center" wrapText="1"/>
    </x:xf>
    <x:xf numFmtId="0" fontId="19" fillId="13" borderId="32" xfId="0" applyNumberFormat="1" applyFont="1" applyFill="1" applyBorder="1" applyAlignment="1">
      <x:alignment vertical="center" wrapText="1"/>
    </x:xf>
    <x:xf numFmtId="0" fontId="19" fillId="13" borderId="33" xfId="0" applyNumberFormat="1" applyFont="1" applyFill="1" applyBorder="1" applyAlignment="1">
      <x:alignment vertical="center" wrapText="1"/>
    </x:xf>
    <x:xf numFmtId="0" fontId="19" fillId="13" borderId="53" xfId="0" applyNumberFormat="1" applyFont="1" applyFill="1" applyBorder="1" applyAlignment="1">
      <x:alignment horizontal="center" vertical="center" wrapText="1"/>
    </x:xf>
    <x:xf numFmtId="0" fontId="19" fillId="13" borderId="54" xfId="0" applyNumberFormat="1" applyFont="1" applyFill="1" applyBorder="1" applyAlignment="1">
      <x:alignment horizontal="center" vertical="center" wrapText="1"/>
    </x:xf>
    <x:xf numFmtId="0" fontId="19" fillId="13" borderId="55" xfId="0" applyNumberFormat="1" applyFont="1" applyFill="1" applyBorder="1" applyAlignment="1">
      <x:alignment horizontal="center" vertical="center" wrapText="1"/>
    </x:xf>
    <x:xf numFmtId="0" fontId="19" fillId="13" borderId="0" xfId="0" applyNumberFormat="1" applyFont="1" applyFill="1" applyBorder="1" applyAlignment="1">
      <x:alignment horizontal="left" vertical="center" wrapText="0"/>
    </x:xf>
    <x:xf numFmtId="0" fontId="19" fillId="13" borderId="26" xfId="0" applyNumberFormat="1" applyFont="1" applyFill="1" applyBorder="1" applyAlignment="1">
      <x:alignment horizontal="left" vertical="center" wrapText="0"/>
    </x:xf>
    <x:xf numFmtId="0" fontId="19" fillId="13" borderId="29" xfId="0" applyNumberFormat="1" applyFont="1" applyFill="1" applyBorder="1" applyAlignment="1">
      <x:alignment horizontal="left" vertical="center" wrapText="0"/>
    </x:xf>
    <x:xf numFmtId="0" fontId="19" fillId="13" borderId="31" xfId="0" applyNumberFormat="1" applyFont="1" applyFill="1" applyBorder="1" applyAlignment="1">
      <x:alignment horizontal="left" vertical="center" wrapText="0"/>
    </x:xf>
    <x:xf numFmtId="0" fontId="19" fillId="13" borderId="26" xfId="0" applyNumberFormat="1" applyFont="1" applyFill="1" applyBorder="1" applyAlignment="1">
      <x:alignment horizontal="left" vertical="center" wrapText="1"/>
    </x:xf>
    <x:xf numFmtId="0" fontId="19" fillId="13" borderId="29" xfId="0" applyNumberFormat="1" applyFont="1" applyFill="1" applyBorder="1" applyAlignment="1">
      <x:alignment horizontal="left" vertical="center" wrapText="1"/>
    </x:xf>
    <x:xf numFmtId="0" fontId="19" fillId="13" borderId="31" xfId="0" applyNumberFormat="1" applyFont="1" applyFill="1" applyBorder="1" applyAlignment="1">
      <x:alignment horizontal="left" vertical="center" wrapText="1"/>
    </x:xf>
    <x:xf numFmtId="0" fontId="17" fillId="18" xfId="0" applyNumberFormat="1" applyFont="1" applyFill="1" applyBorder="0" applyAlignment="1">
      <x:alignment horizontal="left" vertical="center" wrapText="1"/>
    </x:xf>
    <x:xf numFmtId="0" fontId="17" fillId="18" borderId="30" xfId="0" applyNumberFormat="1" applyFont="1" applyFill="1" applyBorder="1" applyAlignment="1">
      <x:alignment horizontal="left" vertical="center" wrapText="1"/>
    </x:xf>
    <x:xf numFmtId="0" fontId="17" fillId="19" xfId="0" applyNumberFormat="1" applyFont="1" applyFill="1" applyBorder="0" applyAlignment="1">
      <x:alignment horizontal="left" vertical="center" wrapText="1"/>
    </x:xf>
    <x:xf numFmtId="0" fontId="17" fillId="19" borderId="30" xfId="0" applyNumberFormat="1" applyFont="1" applyFill="1" applyBorder="1" applyAlignment="1">
      <x:alignment horizontal="left" vertical="center" wrapText="1"/>
    </x:xf>
    <x:xf numFmtId="0" fontId="17" fillId="19" borderId="14" xfId="0" applyNumberFormat="1" applyFont="1" applyFill="1" applyBorder="1" applyAlignment="1">
      <x:alignment horizontal="left" vertical="center" wrapText="1"/>
    </x:xf>
    <x:xf numFmtId="0" fontId="17" fillId="19" borderId="45" xfId="0" applyNumberFormat="1" applyFont="1" applyFill="1" applyBorder="1" applyAlignment="1">
      <x:alignment horizontal="left" vertical="center" wrapText="1"/>
    </x:xf>
    <x:xf numFmtId="0" fontId="17" fillId="19" borderId="0" xfId="0" applyNumberFormat="1" applyFont="1" applyFill="1" applyBorder="1" applyAlignment="1">
      <x:alignment horizontal="left" vertical="center" wrapText="1"/>
    </x:xf>
    <x:xf numFmtId="0" fontId="5" fillId="10" borderId="24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/>
    <x:xf numFmtId="0" fontId="12" fillId="10" borderId="24" xfId="0" applyNumberFormat="1" applyFont="1" applyFill="1" applyBorder="1" applyAlignment="1">
      <x:alignment horizontal="center" vertical="center" wrapText="1"/>
    </x:xf>
    <x:xf numFmtId="200" fontId="11" fillId="10" borderId="0" xfId="0" applyNumberFormat="1" applyFont="1" applyFill="1" applyBorder="1"/>
    <x:xf numFmtId="200" fontId="11" fillId="10" borderId="0" xfId="0" applyNumberFormat="1" applyFont="1" applyFill="1" applyBorder="1" applyAlignment="1">
      <x:alignment vertical="center"/>
    </x:xf>
    <x:xf numFmtId="200" fontId="11" fillId="12" borderId="9" xfId="0" applyNumberFormat="1" applyFont="1" applyFill="1" applyBorder="1" applyAlignment="1">
      <x:alignment horizontal="left" vertical="center" wrapText="0"/>
    </x:xf>
    <x:xf numFmtId="200" fontId="24" fillId="12" borderId="9" xfId="0" applyNumberFormat="1" applyFont="1" applyFill="1" applyBorder="1" applyAlignment="1">
      <x:alignment horizontal="left" vertical="center" wrapText="0"/>
    </x:xf>
    <x:xf numFmtId="200" fontId="24" fillId="12" borderId="41" xfId="0" applyNumberFormat="1" applyFont="1" applyFill="1" applyBorder="1" applyAlignment="1">
      <x:alignment horizontal="left" vertical="center" wrapText="0"/>
    </x:xf>
    <x:xf numFmtId="200" fontId="24" fillId="12" borderId="41" xfId="0" applyNumberFormat="1" applyFont="1" applyFill="1" applyBorder="1" applyAlignment="1">
      <x:alignment horizontal="left" vertical="center" wrapText="1"/>
    </x:xf>
    <x:xf numFmtId="200" fontId="24" fillId="12" borderId="41" xfId="0" applyNumberFormat="1" applyFont="1" applyFill="1" applyBorder="1" applyAlignment="1">
      <x:alignment horizontal="center" vertical="center" wrapText="1"/>
    </x:xf>
    <x:xf numFmtId="0" fontId="17" fillId="10" borderId="50" xfId="0" applyNumberFormat="1" applyFont="1" applyFill="1" applyBorder="1" applyAlignment="1">
      <x:alignment horizontal="left" vertical="center" wrapText="0"/>
    </x:xf>
    <x:xf numFmtId="200" fontId="17" fillId="10" borderId="51" xfId="0" applyNumberFormat="1" applyFont="1" applyFill="1" applyBorder="1" applyAlignment="1">
      <x:alignment horizontal="left" vertical="center" wrapText="0"/>
    </x:xf>
    <x:xf numFmtId="200" fontId="17" fillId="10" borderId="52" xfId="0" applyNumberFormat="1" applyFont="1" applyFill="1" applyBorder="1" applyAlignment="1">
      <x:alignment horizontal="left" vertical="center" wrapText="0"/>
    </x:xf>
    <x:xf numFmtId="0" fontId="17" fillId="10" borderId="50" xfId="0" applyNumberFormat="1" applyFont="1" applyFill="1" applyBorder="1" applyAlignment="1">
      <x:alignment horizontal="left" vertical="center" wrapText="1"/>
    </x:xf>
    <x:xf numFmtId="200" fontId="17" fillId="10" borderId="51" xfId="0" applyNumberFormat="1" applyFont="1" applyFill="1" applyBorder="1" applyAlignment="1">
      <x:alignment horizontal="left" vertical="center" wrapText="1"/>
    </x:xf>
    <x:xf numFmtId="200" fontId="17" fillId="10" borderId="52" xfId="0" applyNumberFormat="1" applyFont="1" applyFill="1" applyBorder="1" applyAlignment="1">
      <x:alignment horizontal="left" vertical="center" wrapText="1"/>
    </x:xf>
    <x:xf numFmtId="200" fontId="17" fillId="10" borderId="50" xfId="0" applyNumberFormat="1" applyFont="1" applyFill="1" applyBorder="1" applyAlignment="1">
      <x:alignment horizontal="left" vertical="center" wrapText="1"/>
    </x:xf>
    <x:xf numFmtId="201" fontId="17" fillId="10" borderId="51" xfId="0" applyNumberFormat="1" applyFont="1" applyFill="1" applyBorder="1" applyAlignment="1">
      <x:alignment horizontal="left" vertical="center" wrapText="1"/>
    </x:xf>
    <x:xf numFmtId="201" fontId="17" fillId="10" borderId="52" xfId="0" applyNumberFormat="1" applyFont="1" applyFill="1" applyBorder="1" applyAlignment="1">
      <x:alignment horizontal="left" vertical="center" wrapText="1"/>
    </x:xf>
    <x:xf numFmtId="0" fontId="25" fillId="14" borderId="11" xfId="0" applyNumberFormat="1" applyFont="1" applyFill="1" applyBorder="1" applyAlignment="1">
      <x:alignment horizontal="left" vertical="center" wrapText="0"/>
    </x:xf>
    <x:xf numFmtId="200" fontId="25" fillId="14" borderId="0" xfId="0" applyNumberFormat="1" applyFont="1" applyFill="1" applyBorder="1" applyAlignment="1">
      <x:alignment horizontal="left" vertical="center" wrapText="0"/>
    </x:xf>
    <x:xf numFmtId="0" fontId="25" fillId="14" borderId="11" xfId="0" applyNumberFormat="1" applyFont="1" applyFill="1" applyBorder="1" applyAlignment="1">
      <x:alignment horizontal="left" vertical="center" wrapText="1"/>
    </x:xf>
    <x:xf numFmtId="200" fontId="25" fillId="14" borderId="0" xfId="0" applyNumberFormat="1" applyFont="1" applyFill="1" applyBorder="1" applyAlignment="1">
      <x:alignment horizontal="left" vertical="center" wrapText="1"/>
    </x:xf>
    <x:xf numFmtId="0" fontId="25" fillId="14" borderId="11" xfId="0" applyNumberFormat="1" applyFont="1" applyFill="1" applyBorder="1" applyAlignment="1">
      <x:alignment horizontal="center" vertical="center" wrapText="1"/>
    </x:xf>
    <x:xf numFmtId="200" fontId="25" fillId="14" borderId="0" xfId="0" applyNumberFormat="1" applyFont="1" applyFill="1" applyBorder="1" applyAlignment="1">
      <x:alignment horizontal="center" vertical="center" wrapText="1"/>
    </x:xf>
    <x:xf numFmtId="0" fontId="25" fillId="14" borderId="0" xfId="0" applyNumberFormat="1" applyFont="1" applyFill="1" applyBorder="1" applyAlignment="1">
      <x:alignment horizontal="left" vertical="center" wrapText="0"/>
    </x:xf>
    <x:xf numFmtId="0" fontId="11" fillId="11" borderId="9" xfId="0" applyNumberFormat="1" applyFont="1" applyFill="1" applyBorder="1" applyAlignment="1">
      <x:alignment horizontal="left" vertical="center" wrapText="0"/>
    </x:xf>
    <x:xf numFmtId="0" fontId="11" fillId="11" borderId="10" xfId="0" applyNumberFormat="1" applyFont="1" applyFill="1" applyBorder="1" applyAlignment="1">
      <x:alignment horizontal="left" vertical="center" wrapText="0"/>
    </x:xf>
    <x:xf numFmtId="200" fontId="11" fillId="11" borderId="0" xfId="0" applyNumberFormat="1" applyFont="1" applyFill="1" applyBorder="1" applyAlignment="1">
      <x:alignment vertical="center"/>
    </x:xf>
    <x:xf numFmtId="0" fontId="16" fillId="11" borderId="9" xfId="0" applyNumberFormat="1" applyFont="1" applyFill="1" applyBorder="1" applyAlignment="1">
      <x:alignment horizontal="left" vertical="center" wrapText="0"/>
    </x:xf>
    <x:xf numFmtId="0" fontId="16" fillId="11" borderId="10" xfId="0" applyNumberFormat="1" applyFont="1" applyFill="1" applyBorder="1" applyAlignment="1">
      <x:alignment horizontal="left" vertical="center" wrapText="0"/>
    </x:xf>
    <x:xf numFmtId="200" fontId="16" fillId="11" borderId="0" xfId="0" applyNumberFormat="1" applyFont="1" applyFill="1" applyBorder="1" applyAlignment="1">
      <x:alignment vertical="center"/>
    </x:xf>
    <x:xf numFmtId="0" fontId="16" fillId="11" borderId="9" xfId="0" applyNumberFormat="1" applyFont="1" applyFill="1" applyBorder="1" applyAlignment="1">
      <x:alignment horizontal="center" vertical="center" wrapText="0"/>
    </x:xf>
    <x:xf numFmtId="0" fontId="16" fillId="11" borderId="10" xfId="0" applyNumberFormat="1" applyFont="1" applyFill="1" applyBorder="1" applyAlignment="1">
      <x:alignment horizontal="center" vertical="center" wrapText="0"/>
    </x:xf>
    <x:xf numFmtId="200" fontId="16" fillId="11" borderId="0" xfId="0" applyNumberFormat="1" applyFont="1" applyFill="1" applyBorder="1" applyAlignment="1">
      <x:alignment horizontal="center" vertical="center"/>
    </x:xf>
    <x:xf numFmtId="0" fontId="17" fillId="14" borderId="26" xfId="0" applyNumberFormat="1" applyFont="1" applyFill="1" applyBorder="1" applyAlignment="1">
      <x:alignment horizontal="left" vertical="center" wrapText="1"/>
    </x:xf>
    <x:xf numFmtId="0" fontId="17" fillId="14" borderId="29" xfId="0" applyNumberFormat="1" applyFont="1" applyFill="1" applyBorder="1" applyAlignment="1">
      <x:alignment horizontal="left" vertical="center" wrapText="1"/>
    </x:xf>
    <x:xf numFmtId="0" fontId="17" fillId="14" borderId="31" xfId="0" applyNumberFormat="1" applyFont="1" applyFill="1" applyBorder="1" applyAlignment="1">
      <x:alignment horizontal="left" vertical="center" wrapText="1"/>
    </x:xf>
    <x:xf numFmtId="0" fontId="28" fillId="14" borderId="26" xfId="0" applyNumberFormat="1" applyFont="1" applyFill="1" applyBorder="1" applyAlignment="1">
      <x:alignment horizontal="left" vertical="center" wrapText="1"/>
    </x:xf>
    <x:xf numFmtId="0" fontId="28" fillId="14" borderId="29" xfId="0" applyNumberFormat="1" applyFont="1" applyFill="1" applyBorder="1" applyAlignment="1">
      <x:alignment horizontal="left" vertical="center" wrapText="1"/>
    </x:xf>
    <x:xf numFmtId="0" fontId="28" fillId="14" borderId="31" xfId="0" applyNumberFormat="1" applyFont="1" applyFill="1" applyBorder="1" applyAlignment="1">
      <x:alignment horizontal="left" vertical="center" wrapText="1"/>
    </x:xf>
    <x:xf numFmtId="0" fontId="28" fillId="14" borderId="26" xfId="0" applyNumberFormat="1" applyFont="1" applyFill="1" applyBorder="1" applyAlignment="1">
      <x:alignment horizontal="center" vertical="center" wrapText="1"/>
    </x:xf>
    <x:xf numFmtId="0" fontId="28" fillId="14" borderId="29" xfId="0" applyNumberFormat="1" applyFont="1" applyFill="1" applyBorder="1" applyAlignment="1">
      <x:alignment horizontal="center" vertical="center" wrapText="1"/>
    </x:xf>
    <x:xf numFmtId="0" fontId="28" fillId="14" borderId="31" xfId="0" applyNumberFormat="1" applyFont="1" applyFill="1" applyBorder="1" applyAlignment="1">
      <x:alignment horizontal="center" vertical="center" wrapText="1"/>
    </x:xf>
    <x:xf numFmtId="0" fontId="19" fillId="13" borderId="12" xfId="0" applyNumberFormat="1" applyFont="1" applyFill="1" applyBorder="1" applyAlignment="1">
      <x:alignment horizontal="left" vertical="center" wrapText="1"/>
    </x:xf>
    <x:xf numFmtId="0" fontId="19" fillId="13" borderId="0" xfId="0" applyNumberFormat="1" applyFont="1" applyFill="1" applyBorder="1" applyAlignment="1">
      <x:alignment horizontal="left" vertical="center" wrapText="1"/>
    </x:xf>
    <x:xf numFmtId="200" fontId="17" fillId="10" borderId="0" xfId="0" applyNumberFormat="1" applyFont="1" applyFill="1" applyBorder="1" applyAlignment="1">
      <x:alignment vertical="center"/>
    </x:xf>
    <x:xf numFmtId="200" fontId="17" fillId="10" xfId="0" applyNumberFormat="1" applyFont="1" applyFill="1" applyBorder="0" applyAlignment="1">
      <x:alignment vertical="center"/>
    </x:xf>
    <x:xf numFmtId="200" fontId="17" fillId="10" borderId="32" xfId="0" applyNumberFormat="1" applyFont="1" applyFill="1" applyBorder="1" applyAlignment="1">
      <x:alignment vertical="center"/>
    </x:xf>
    <x:xf numFmtId="201" fontId="17" fillId="18" borderId="27" xfId="0" applyNumberFormat="1" applyFont="1" applyFill="1" applyBorder="1" applyAlignment="1">
      <x:alignment horizontal="left" vertical="center" wrapText="1"/>
    </x:xf>
    <x:xf numFmtId="201" fontId="17" fillId="18" xfId="0" applyNumberFormat="1" applyFont="1" applyFill="1" applyBorder="0" applyAlignment="1">
      <x:alignment horizontal="left" vertical="center" wrapText="1"/>
    </x:xf>
    <x:xf numFmtId="201" fontId="17" fillId="19" xfId="0" applyNumberFormat="1" applyFont="1" applyFill="1" applyBorder="0" applyAlignment="1">
      <x:alignment horizontal="left" vertical="center" wrapText="1"/>
    </x:xf>
    <x:xf numFmtId="201" fontId="17" fillId="19" borderId="14" xfId="0" applyNumberFormat="1" applyFont="1" applyFill="1" applyBorder="1" applyAlignment="1">
      <x:alignment horizontal="left" vertical="center" wrapText="1"/>
    </x:xf>
    <x:xf numFmtId="201" fontId="17" fillId="19" xfId="0" applyNumberFormat="1" applyFont="1" applyFill="1" applyBorder="0" applyAlignment="1">
      <x:alignment vertical="center" wrapText="1"/>
    </x:xf>
    <x:xf numFmtId="201" fontId="17" fillId="19" borderId="32" xfId="0" applyNumberFormat="1" applyFont="1" applyFill="1" applyBorder="1" applyAlignment="1">
      <x:alignment vertical="center" wrapText="1"/>
    </x:xf>
    <x:xf numFmtId="201" fontId="17" fillId="19" borderId="0" xfId="0" applyNumberFormat="1" applyFont="1" applyFill="1" applyBorder="1" applyAlignment="1">
      <x:alignment horizontal="left" vertical="center" wrapText="1"/>
    </x:xf>
    <x:xf numFmtId="0" fontId="22" fillId="14" borderId="0" xfId="0" applyNumberFormat="1" applyFont="1" applyFill="1" applyBorder="1" applyAlignment="1">
      <x:alignment horizontal="center" vertical="center"/>
    </x:xf>
    <x:xf numFmtId="200" fontId="22" fillId="14" borderId="0" xfId="0" applyNumberFormat="1" applyFont="1" applyFill="1" applyBorder="1" applyAlignment="1">
      <x:alignment horizontal="center" vertical="center"/>
    </x:xf>
    <x:xf numFmtId="0" fontId="17" fillId="15" borderId="0" xfId="0" applyNumberFormat="1" applyFont="1" applyFill="1" applyBorder="1" applyAlignment="1">
      <x:alignment vertical="center" wrapText="1"/>
    </x:xf>
    <x:xf numFmtId="0" fontId="17" fillId="15" borderId="0" xfId="0" applyNumberFormat="1" applyFont="1" applyFill="1" applyBorder="1" applyAlignment="1">
      <x:alignment horizontal="center" vertical="center" wrapText="1"/>
    </x:xf>
    <x:xf numFmtId="0" fontId="11" fillId="14" borderId="8" xfId="0" applyNumberFormat="1" applyFont="1" applyFill="1" applyBorder="1" applyAlignment="1">
      <x:alignment horizontal="left" vertical="center" wrapText="0"/>
    </x:xf>
    <x:xf numFmtId="0" fontId="11" fillId="14" borderId="9" xfId="0" applyNumberFormat="1" applyFont="1" applyFill="1" applyBorder="1" applyAlignment="1">
      <x:alignment horizontal="left" vertical="center" wrapText="0"/>
    </x:xf>
    <x:xf numFmtId="0" fontId="11" fillId="14" borderId="10" xfId="0" applyNumberFormat="1" applyFont="1" applyFill="1" applyBorder="1" applyAlignment="1">
      <x:alignment horizontal="left" vertical="center" wrapText="0"/>
    </x:xf>
    <x:xf numFmtId="0" fontId="22" fillId="14" borderId="8" xfId="0" applyNumberFormat="1" applyFont="1" applyFill="1" applyBorder="1" applyAlignment="1">
      <x:alignment horizontal="left" vertical="center" wrapText="0"/>
    </x:xf>
    <x:xf numFmtId="0" fontId="22" fillId="14" borderId="9" xfId="0" applyNumberFormat="1" applyFont="1" applyFill="1" applyBorder="1" applyAlignment="1">
      <x:alignment horizontal="left" vertical="center" wrapText="0"/>
    </x:xf>
    <x:xf numFmtId="0" fontId="22" fillId="14" borderId="10" xfId="0" applyNumberFormat="1" applyFont="1" applyFill="1" applyBorder="1" applyAlignment="1">
      <x:alignment horizontal="left" vertical="center" wrapText="0"/>
    </x:xf>
    <x:xf numFmtId="0" fontId="22" fillId="14" borderId="11" xfId="0" applyNumberFormat="1" applyFont="1" applyFill="1" applyBorder="1" applyAlignment="1">
      <x:alignment horizontal="left" vertical="center" wrapText="0"/>
    </x:xf>
    <x:xf numFmtId="0" fontId="22" fillId="14" borderId="0" xfId="0" applyNumberFormat="1" applyFont="1" applyFill="1" applyBorder="1" applyAlignment="1">
      <x:alignment horizontal="left" vertical="center" wrapText="0"/>
    </x:xf>
    <x:xf numFmtId="0" fontId="22" fillId="14" borderId="12" xfId="0" applyNumberFormat="1" applyFont="1" applyFill="1" applyBorder="1" applyAlignment="1">
      <x:alignment horizontal="left" vertical="center" wrapText="0"/>
    </x:xf>
    <x:xf numFmtId="0" fontId="22" fillId="14" borderId="8" xfId="0" applyNumberFormat="1" applyFont="1" applyFill="1" applyBorder="1" applyAlignment="1">
      <x:alignment horizontal="left" vertical="center" wrapText="1"/>
    </x:xf>
    <x:xf numFmtId="0" fontId="22" fillId="14" borderId="9" xfId="0" applyNumberFormat="1" applyFont="1" applyFill="1" applyBorder="1" applyAlignment="1">
      <x:alignment horizontal="left" vertical="center" wrapText="1"/>
    </x:xf>
    <x:xf numFmtId="0" fontId="22" fillId="14" borderId="10" xfId="0" applyNumberFormat="1" applyFont="1" applyFill="1" applyBorder="1" applyAlignment="1">
      <x:alignment horizontal="left" vertical="center" wrapText="1"/>
    </x:xf>
    <x:xf numFmtId="0" fontId="22" fillId="14" borderId="0" xfId="0" applyNumberFormat="1" applyFont="1" applyFill="1" applyBorder="1" applyAlignment="1">
      <x:alignment vertical="center" wrapText="1"/>
    </x:xf>
    <x:xf numFmtId="0" fontId="22" fillId="14" borderId="11" xfId="0" applyNumberFormat="1" applyFont="1" applyFill="1" applyBorder="1" applyAlignment="1">
      <x:alignment horizontal="left" vertical="center" wrapText="1"/>
    </x:xf>
    <x:xf numFmtId="0" fontId="22" fillId="14" borderId="12" xfId="0" applyNumberFormat="1" applyFont="1" applyFill="1" applyBorder="1" applyAlignment="1">
      <x:alignment horizontal="left" vertical="center" wrapText="1"/>
    </x:xf>
    <x:xf numFmtId="0" fontId="22" fillId="14" borderId="8" xfId="0" applyNumberFormat="1" applyFont="1" applyFill="1" applyBorder="1" applyAlignment="1">
      <x:alignment horizontal="center" vertical="center" wrapText="1"/>
    </x:xf>
    <x:xf numFmtId="0" fontId="22" fillId="14" borderId="9" xfId="0" applyNumberFormat="1" applyFont="1" applyFill="1" applyBorder="1" applyAlignment="1">
      <x:alignment horizontal="center" vertical="center" wrapText="1"/>
    </x:xf>
    <x:xf numFmtId="0" fontId="22" fillId="14" borderId="10" xfId="0" applyNumberFormat="1" applyFont="1" applyFill="1" applyBorder="1" applyAlignment="1">
      <x:alignment horizontal="center" vertical="center" wrapText="1"/>
    </x:xf>
    <x:xf numFmtId="0" fontId="22" fillId="14" borderId="11" xfId="0" applyNumberFormat="1" applyFont="1" applyFill="1" applyBorder="1" applyAlignment="1">
      <x:alignment horizontal="center" vertical="center" wrapText="1"/>
    </x:xf>
    <x:xf numFmtId="0" fontId="22" fillId="14" borderId="12" xfId="0" applyNumberFormat="1" applyFont="1" applyFill="1" applyBorder="1" applyAlignment="1">
      <x:alignment horizontal="center" vertical="center" wrapText="1"/>
    </x:xf>
    <x:xf numFmtId="0" fontId="17" fillId="19" borderId="28" xfId="0" applyNumberFormat="1" applyFont="1" applyFill="1" applyBorder="1" applyAlignment="1">
      <x:alignment horizontal="left" vertical="center" wrapText="1"/>
    </x:xf>
    <x:xf numFmtId="0" fontId="16" fillId="12" borderId="0" xfId="0" applyNumberFormat="1" applyFont="1" applyFill="1" applyBorder="1" applyAlignment="1">
      <x:alignment vertical="center" wrapText="1"/>
    </x:xf>
    <x:xf numFmtId="0" fontId="16" fillId="12" borderId="0" xfId="0" applyNumberFormat="1" applyFont="1" applyFill="1" applyBorder="1" applyAlignment="1">
      <x:alignment horizontal="center" vertical="center" wrapText="1"/>
    </x:xf>
    <x:xf numFmtId="0" fontId="25" fillId="14" borderId="2" xfId="0" applyNumberFormat="1" applyFont="1" applyFill="1" applyBorder="1" applyAlignment="1">
      <x:alignment horizontal="center" vertical="center" wrapText="1"/>
    </x:xf>
    <x:xf numFmtId="0" fontId="25" fillId="14" borderId="4" xfId="0" applyNumberFormat="1" applyFont="1" applyFill="1" applyBorder="1" applyAlignment="1">
      <x:alignment horizontal="center" vertical="center" wrapText="1"/>
    </x:xf>
    <x:xf numFmtId="0" fontId="24" fillId="12" borderId="40" xfId="0" applyNumberFormat="1" applyFont="1" applyFill="1" applyBorder="1" applyAlignment="1">
      <x:alignment horizontal="left" vertical="center" wrapText="0"/>
    </x:xf>
    <x:xf numFmtId="0" fontId="17" fillId="10" borderId="42" xfId="0" applyNumberFormat="1" applyFont="1" applyFill="1" applyBorder="1" applyAlignment="1">
      <x:alignment horizontal="left" vertical="center" wrapText="0"/>
    </x:xf>
    <x:xf numFmtId="0" fontId="17" fillId="15" borderId="42" xfId="0" applyNumberFormat="1" applyFont="1" applyFill="1" applyBorder="1" applyAlignment="1">
      <x:alignment horizontal="left" vertical="center" wrapText="1"/>
    </x:xf>
    <x:xf numFmtId="0" fontId="17" fillId="15" borderId="12" xfId="0" applyNumberFormat="1" applyFont="1" applyFill="1" applyBorder="1" applyAlignment="1">
      <x:alignment horizontal="left" vertical="center" wrapText="1"/>
    </x:xf>
    <x:xf numFmtId="0" fontId="17" fillId="15" borderId="15" xfId="0" applyNumberFormat="1" applyFont="1" applyFill="1" applyBorder="1" applyAlignment="1">
      <x:alignment horizontal="left" vertical="center" wrapText="1"/>
    </x:xf>
    <x:xf numFmtId="0" fontId="17" fillId="15" xfId="0" applyNumberFormat="1" applyFont="1" applyFill="1" applyBorder="0" applyAlignment="1">
      <x:alignment vertical="center" wrapText="1"/>
    </x:xf>
    <x:xf numFmtId="0" fontId="29" fillId="15" borderId="42" xfId="0" applyNumberFormat="1" applyFont="1" applyFill="1" applyBorder="1" applyAlignment="1">
      <x:alignment horizontal="left" vertical="center" wrapText="1"/>
    </x:xf>
    <x:xf numFmtId="0" fontId="29" fillId="15" borderId="12" xfId="0" applyNumberFormat="1" applyFont="1" applyFill="1" applyBorder="1" applyAlignment="1">
      <x:alignment horizontal="left" vertical="center" wrapText="1"/>
    </x:xf>
    <x:xf numFmtId="0" fontId="29" fillId="15" borderId="15" xfId="0" applyNumberFormat="1" applyFont="1" applyFill="1" applyBorder="1" applyAlignment="1">
      <x:alignment horizontal="left" vertical="center" wrapText="1"/>
    </x:xf>
    <x:xf numFmtId="0" fontId="29" fillId="15" xfId="0" applyNumberFormat="1" applyFont="1" applyFill="1" applyBorder="0" applyAlignment="1">
      <x:alignment vertical="center" wrapText="1"/>
    </x:xf>
    <x:xf numFmtId="0" fontId="29" fillId="15" borderId="32" xfId="0" applyNumberFormat="1" applyFont="1" applyFill="1" applyBorder="1" applyAlignment="1">
      <x:alignment vertical="center" wrapText="1"/>
    </x:xf>
    <x:xf numFmtId="0" fontId="29" fillId="15" borderId="56" xfId="0" applyNumberFormat="1" applyFont="1" applyFill="1" applyBorder="1" applyAlignment="1">
      <x:alignment horizontal="left" vertical="center" wrapText="1"/>
    </x:xf>
    <x:xf numFmtId="0" fontId="29" fillId="15" borderId="57" xfId="0" applyNumberFormat="1" applyFont="1" applyFill="1" applyBorder="1" applyAlignment="1">
      <x:alignment horizontal="left" vertical="center" wrapText="1"/>
    </x:xf>
    <x:xf numFmtId="0" fontId="29" fillId="15" borderId="58" xfId="0" applyNumberFormat="1" applyFont="1" applyFill="1" applyBorder="1" applyAlignment="1">
      <x:alignment horizontal="left" vertical="center" wrapText="1"/>
    </x:xf>
    <x:xf numFmtId="0" fontId="29" fillId="15" borderId="57" xfId="0" applyNumberFormat="1" applyFont="1" applyFill="1" applyBorder="1" applyAlignment="1">
      <x:alignment vertical="center" wrapText="1"/>
    </x:xf>
    <x:xf numFmtId="0" fontId="29" fillId="15" borderId="59" xfId="0" applyNumberFormat="1" applyFont="1" applyFill="1" applyBorder="1" applyAlignment="1">
      <x:alignment vertical="center" wrapText="1"/>
    </x:xf>
    <x:xf numFmtId="0" fontId="17" fillId="15" borderId="0" xfId="0" applyNumberFormat="1" applyFont="1" applyFill="1" applyBorder="1" applyAlignment="1">
      <x:alignment horizontal="left" vertical="center" wrapText="1"/>
    </x:xf>
    <x:xf numFmtId="0" fontId="29" fillId="15" borderId="27" xfId="0" applyNumberFormat="1" applyFont="1" applyFill="1" applyBorder="1" applyAlignment="1">
      <x:alignment horizontal="left" vertical="center" wrapText="1"/>
    </x:xf>
    <x:xf numFmtId="0" fontId="29" fillId="15" borderId="0" xfId="0" applyNumberFormat="1" applyFont="1" applyFill="1" applyBorder="1" applyAlignment="1">
      <x:alignment horizontal="left" vertical="center" wrapText="1"/>
    </x:xf>
    <x:xf numFmtId="0" fontId="12" fillId="12" borderId="2" xfId="0" applyNumberFormat="1" applyFont="1" applyFill="1" applyBorder="1" applyAlignment="1">
      <x:alignment horizontal="center" vertical="center" wrapText="1"/>
    </x:xf>
    <x:xf numFmtId="0" fontId="12" fillId="12" borderId="3" xfId="0" applyNumberFormat="1" applyFont="1" applyFill="1" applyBorder="1" applyAlignment="1">
      <x:alignment horizontal="center" vertical="center" wrapText="1"/>
    </x:xf>
    <x:xf numFmtId="0" fontId="12" fillId="12" borderId="4" xfId="0" applyNumberFormat="1" applyFont="1" applyFill="1" applyBorder="1" applyAlignment="1">
      <x:alignment horizontal="center" vertical="center" wrapText="1"/>
    </x:xf>
    <x:xf numFmtId="0" fontId="24" fillId="12" borderId="2" xfId="0" applyNumberFormat="1" applyFont="1" applyFill="1" applyBorder="1" applyAlignment="1">
      <x:alignment horizontal="center" vertical="center" wrapText="1"/>
    </x:xf>
    <x:xf numFmtId="0" fontId="24" fillId="12" borderId="3" xfId="0" applyNumberFormat="1" applyFont="1" applyFill="1" applyBorder="1" applyAlignment="1">
      <x:alignment horizontal="center" vertical="center" wrapText="1"/>
    </x:xf>
    <x:xf numFmtId="0" fontId="24" fillId="12" borderId="4" xfId="0" applyNumberFormat="1" applyFont="1" applyFill="1" applyBorder="1" applyAlignment="1">
      <x:alignment horizontal="center" vertical="center" wrapText="1"/>
    </x:xf>
    <x:xf numFmtId="0" fontId="17" fillId="10" borderId="8" xfId="0" applyNumberFormat="1" applyFont="1" applyFill="1" applyBorder="1" applyAlignment="1">
      <x:alignment horizontal="left" vertical="center" wrapText="0"/>
    </x:xf>
    <x:xf numFmtId="0" fontId="17" fillId="10" borderId="9" xfId="0" applyNumberFormat="1" applyFont="1" applyFill="1" applyBorder="1" applyAlignment="1">
      <x:alignment horizontal="left" vertical="center" wrapText="0"/>
    </x:xf>
    <x:xf numFmtId="0" fontId="17" fillId="10" borderId="10" xfId="0" applyNumberFormat="1" applyFont="1" applyFill="1" applyBorder="1" applyAlignment="1">
      <x:alignment horizontal="left" vertical="center" wrapText="0"/>
    </x:xf>
    <x:xf numFmtId="0" fontId="17" fillId="10" borderId="27" xfId="0" applyNumberFormat="1" applyFont="1" applyFill="1" applyBorder="1" applyAlignment="1">
      <x:alignment vertical="center"/>
    </x:xf>
    <x:xf numFmtId="0" fontId="17" fillId="10" borderId="27" xfId="0" applyNumberFormat="1" applyFont="1" applyFill="1" applyBorder="1" applyAlignment="1">
      <x:alignment vertical="center" wrapText="1"/>
    </x:xf>
    <x:xf numFmtId="0" fontId="17" fillId="14" borderId="43" xfId="0" applyNumberFormat="1" applyFont="1" applyFill="1" applyBorder="1" applyAlignment="1">
      <x:alignment horizontal="left" vertical="center" wrapText="1"/>
    </x:xf>
    <x:xf numFmtId="0" fontId="17" fillId="14" borderId="31" xfId="0" applyNumberFormat="1" applyFont="1" applyFill="1" applyBorder="1" applyAlignment="1">
      <x:alignment vertical="center" wrapText="1"/>
    </x:xf>
    <x:xf numFmtId="0" fontId="25" fillId="14" borderId="26" xfId="0" applyNumberFormat="1" applyFont="1" applyFill="1" applyBorder="1" applyAlignment="1">
      <x:alignment horizontal="left" vertical="center" wrapText="1"/>
    </x:xf>
    <x:xf numFmtId="0" fontId="25" fillId="14" borderId="29" xfId="0" applyNumberFormat="1" applyFont="1" applyFill="1" applyBorder="1" applyAlignment="1">
      <x:alignment horizontal="left" vertical="center" wrapText="1"/>
    </x:xf>
    <x:xf numFmtId="0" fontId="25" fillId="14" borderId="43" xfId="0" applyNumberFormat="1" applyFont="1" applyFill="1" applyBorder="1" applyAlignment="1">
      <x:alignment horizontal="left" vertical="center" wrapText="1"/>
    </x:xf>
    <x:xf numFmtId="0" fontId="25" fillId="14" borderId="31" xfId="0" applyNumberFormat="1" applyFont="1" applyFill="1" applyBorder="1" applyAlignment="1">
      <x:alignment vertical="center" wrapText="1"/>
    </x:xf>
    <x:xf numFmtId="0" fontId="25" fillId="14" borderId="26" xfId="0" applyNumberFormat="1" applyFont="1" applyFill="1" applyBorder="1" applyAlignment="1">
      <x:alignment horizontal="center" vertical="center" wrapText="1"/>
    </x:xf>
    <x:xf numFmtId="0" fontId="25" fillId="14" borderId="29" xfId="0" applyNumberFormat="1" applyFont="1" applyFill="1" applyBorder="1" applyAlignment="1">
      <x:alignment horizontal="center" vertical="center" wrapText="1"/>
    </x:xf>
    <x:xf numFmtId="0" fontId="25" fillId="14" borderId="43" xfId="0" applyNumberFormat="1" applyFont="1" applyFill="1" applyBorder="1" applyAlignment="1">
      <x:alignment horizontal="center" vertical="center" wrapText="1"/>
    </x:xf>
    <x:xf numFmtId="0" fontId="25" fillId="14" borderId="31" xfId="0" applyNumberFormat="1" applyFont="1" applyFill="1" applyBorder="1" applyAlignment="1">
      <x:alignment horizontal="center" vertical="center" wrapText="1"/>
    </x:xf>
    <x:xf numFmtId="0" fontId="17" fillId="13" borderId="27" xfId="0" applyNumberFormat="1" applyFont="1" applyFill="1" applyBorder="1" applyAlignment="1">
      <x:alignment vertical="center" wrapText="1"/>
    </x:xf>
    <x:xf numFmtId="0" fontId="17" fillId="13" xfId="0" applyNumberFormat="1" applyFont="1" applyFill="1" applyBorder="0" applyAlignment="1">
      <x:alignment vertical="center" wrapText="1"/>
    </x:xf>
    <x:xf numFmtId="0" fontId="17" fillId="13" borderId="32" xfId="0" applyNumberFormat="1" applyFont="1" applyFill="1" applyBorder="1" applyAlignment="1">
      <x:alignment vertical="center" wrapText="1"/>
    </x:xf>
    <x:xf numFmtId="0" fontId="30" fillId="13" borderId="27" xfId="0" applyNumberFormat="1" applyFont="1" applyFill="1" applyBorder="1" applyAlignment="1">
      <x:alignment vertical="center" wrapText="1"/>
    </x:xf>
    <x:xf numFmtId="0" fontId="30" fillId="13" xfId="0" applyNumberFormat="1" applyFont="1" applyFill="1" applyBorder="0" applyAlignment="1">
      <x:alignment vertical="center" wrapText="1"/>
    </x:xf>
    <x:xf numFmtId="0" fontId="30" fillId="13" borderId="32" xfId="0" applyNumberFormat="1" applyFont="1" applyFill="1" applyBorder="1" applyAlignment="1">
      <x:alignment vertical="center" wrapText="1"/>
    </x:xf>
    <x:xf numFmtId="0" fontId="30" fillId="13" borderId="56" xfId="0" applyNumberFormat="1" applyFont="1" applyFill="1" applyBorder="1" applyAlignment="1">
      <x:alignment vertical="center" wrapText="1"/>
    </x:xf>
    <x:xf numFmtId="0" fontId="30" fillId="13" borderId="57" xfId="0" applyNumberFormat="1" applyFont="1" applyFill="1" applyBorder="1" applyAlignment="1">
      <x:alignment vertical="center" wrapText="1"/>
    </x:xf>
    <x:xf numFmtId="0" fontId="30" fillId="13" borderId="59" xfId="0" applyNumberFormat="1" applyFont="1" applyFill="1" applyBorder="1" applyAlignment="1">
      <x:alignment vertical="center" wrapText="1"/>
    </x:xf>
    <x:xf numFmtId="0" fontId="30" fillId="13" borderId="56" xfId="0" applyNumberFormat="1" applyFont="1" applyFill="1" applyBorder="1" applyAlignment="1">
      <x:alignment horizontal="right" vertical="center" wrapText="1"/>
    </x:xf>
    <x:xf numFmtId="0" fontId="30" fillId="13" borderId="57" xfId="0" applyNumberFormat="1" applyFont="1" applyFill="1" applyBorder="1" applyAlignment="1">
      <x:alignment horizontal="right" vertical="center" wrapText="1"/>
    </x:xf>
    <x:xf numFmtId="0" fontId="30" fillId="13" borderId="59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horizontal="center" vertical="center" wrapText="0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horizontal="center" vertical="center" wrapText="0"/>
    </x:xf>
    <x:xf numFmtId="0" fontId="7" fillId="6" borderId="0" xfId="0" applyNumberFormat="1" applyFont="1" applyFill="1" applyBorder="1" applyAlignment="1">
      <x:alignment horizontal="center" vertical="center" wrapText="0"/>
    </x:xf>
    <x:xf numFmtId="0" fontId="11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vertical="center" wrapText="0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1" fillId="6" borderId="0" xfId="0" applyNumberFormat="1" applyFont="1" applyFill="1" applyBorder="1" applyAlignment="1">
      <x:alignment horizontal="left" vertical="center" wrapText="0"/>
    </x:xf>
    <x:xf numFmtId="0" fontId="11" fillId="6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horizontal="center" vertical="center" wrapText="0"/>
    </x:xf>
    <x:xf numFmtId="0" fontId="11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horizontal="center" vertical="center" wrapText="1"/>
    </x:xf>
    <x:xf numFmtId="0" fontId="13" fillId="4" borderId="0" xfId="0" applyNumberFormat="1" applyFont="1" applyFill="1" applyBorder="1" applyAlignment="1">
      <x:alignment horizontal="center" vertical="center" wrapText="0"/>
    </x:xf>
    <x:xf numFmtId="0" fontId="13" fillId="4" borderId="0" xfId="0" applyNumberFormat="1" applyFont="1" applyFill="1" applyBorder="1" applyAlignment="1">
      <x:alignment vertical="center"/>
    </x:xf>
    <x:xf numFmtId="0" fontId="13" fillId="4" borderId="0" xfId="0" applyNumberFormat="1" applyFont="1" applyFill="1" applyBorder="1" applyAlignment="1">
      <x:alignment horizontal="center" vertical="center" wrapText="1"/>
    </x:xf>
    <x:xf numFmtId="0" fontId="13" fillId="4" borderId="0" xfId="0" applyNumberFormat="1" applyFont="1" applyFill="1" applyBorder="1" applyAlignment="1">
      <x:alignment horizontal="left" vertical="center" wrapText="0"/>
    </x:xf>
    <x:xf numFmtId="0" fontId="13" fillId="4" borderId="0" xfId="0" applyNumberFormat="1" applyFont="1" applyFill="1" applyBorder="1" applyAlignment="1">
      <x:alignment horizontal="left" vertical="center"/>
    </x:xf>
    <x:xf numFmtId="0" fontId="13" fillId="4" borderId="0" xfId="0" applyNumberFormat="1" applyFont="1" applyFill="1" applyBorder="1" applyAlignment="1">
      <x:alignment horizontal="left" vertical="center" wrapText="1"/>
    </x:xf>
    <x:xf numFmtId="0" fontId="16" fillId="4" borderId="0" xfId="0" applyNumberFormat="1" applyFont="1" applyFill="1" applyBorder="1" applyAlignment="1">
      <x:alignment vertical="center"/>
    </x:xf>
    <x:xf numFmtId="0" fontId="16" fillId="4" borderId="0" xfId="0" applyNumberFormat="1" applyFont="1" applyFill="1" applyBorder="1" applyAlignment="1">
      <x:alignment horizontal="center" vertical="center"/>
    </x:xf>
    <x:xf numFmtId="0" fontId="12" fillId="3" borderId="0" xfId="0" applyNumberFormat="1" applyFont="1" applyFill="1" applyBorder="1" applyAlignment="1">
      <x:alignment horizontal="center" vertical="center" wrapText="0"/>
    </x:xf>
    <x:xf numFmtId="0" fontId="16" fillId="3" borderId="0" xfId="0" applyNumberFormat="1" applyFont="1" applyFill="1" applyBorder="1" applyAlignment="1">
      <x:alignment horizontal="center" vertical="center" wrapText="0"/>
    </x:xf>
    <x:xf numFmtId="0" fontId="16" fillId="3" borderId="0" xfId="0" applyNumberFormat="1" applyFont="1" applyFill="1" applyBorder="1" applyAlignment="1">
      <x:alignment vertical="center"/>
    </x:xf>
    <x:xf numFmtId="0" fontId="16" fillId="3" borderId="0" xfId="0" applyNumberFormat="1" applyFont="1" applyFill="1" applyBorder="1" applyAlignment="1">
      <x:alignment horizontal="center" vertical="center"/>
    </x:xf>
    <x:xf numFmtId="0" fontId="17" fillId="3" borderId="0" xfId="0" applyNumberFormat="1" applyFont="1" applyFill="1" applyBorder="1" applyAlignment="1">
      <x:alignment horizontal="left" vertical="center" wrapText="1"/>
    </x:xf>
    <x:xf numFmtId="0" fontId="18" fillId="3" borderId="0" xfId="0" applyNumberFormat="1" applyFont="1" applyFill="1" applyBorder="1" applyAlignment="1">
      <x:alignment horizontal="left" vertical="center" wrapText="1"/>
    </x:xf>
    <x:xf numFmtId="0" fontId="18" fillId="3" borderId="0" xfId="0" applyNumberFormat="1" applyFont="1" applyFill="1" applyBorder="1" applyAlignment="1">
      <x:alignment horizontal="center" vertical="center" wrapText="1"/>
    </x:xf>
    <x:xf numFmtId="0" fontId="17" fillId="16" borderId="0" xfId="0" applyNumberFormat="1" applyFont="1" applyFill="1" applyBorder="1" applyAlignment="1">
      <x:alignment horizontal="left" vertical="center" wrapText="1"/>
    </x:xf>
    <x:xf numFmtId="0" fontId="18" fillId="16" borderId="0" xfId="0" applyNumberFormat="1" applyFont="1" applyFill="1" applyBorder="1" applyAlignment="1">
      <x:alignment horizontal="left" vertical="center" wrapText="1"/>
    </x:xf>
    <x:xf numFmtId="0" fontId="18" fillId="16" borderId="0" xfId="0" applyNumberFormat="1" applyFont="1" applyFill="1" applyBorder="1" applyAlignment="1">
      <x:alignment horizontal="center" vertical="center" wrapText="1"/>
    </x:xf>
    <x:xf numFmtId="0" fontId="17" fillId="17" borderId="0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 applyAlignment="1">
      <x:alignment horizontal="center" vertical="center" wrapText="1"/>
    </x:xf>
    <x:xf numFmtId="0" fontId="18" fillId="17" borderId="0" xfId="0" applyNumberFormat="1" applyFont="1" applyFill="1" applyBorder="1" applyAlignment="1">
      <x:alignment vertical="center" wrapText="1"/>
    </x:xf>
    <x:xf numFmtId="0" fontId="18" fillId="17" borderId="0" xfId="0" applyNumberFormat="1" applyFont="1" applyFill="1" applyBorder="1" applyAlignment="1">
      <x:alignment horizontal="center" vertical="center" wrapText="1"/>
    </x:xf>
    <x:xf numFmtId="0" fontId="17" fillId="4" borderId="0" xfId="0" applyNumberFormat="1" applyFont="1" applyFill="1" applyBorder="1" applyAlignment="1">
      <x:alignment vertical="center" wrapText="1"/>
    </x:xf>
    <x:xf numFmtId="0" fontId="19" fillId="4" borderId="0" xfId="0" applyNumberFormat="1" applyFont="1" applyFill="1" applyBorder="1" applyAlignment="1">
      <x:alignment horizontal="center" vertical="center" wrapText="1"/>
    </x:xf>
    <x:xf numFmtId="0" fontId="18" fillId="4" borderId="0" xfId="0" applyNumberFormat="1" applyFont="1" applyFill="1" applyBorder="1" applyAlignment="1">
      <x:alignment vertical="center" wrapText="1"/>
    </x:xf>
    <x:xf numFmtId="0" fontId="18" fillId="4" borderId="0" xfId="0" applyNumberFormat="1" applyFont="1" applyFill="1" applyBorder="1" applyAlignment="1">
      <x:alignment horizontal="center" vertical="center" wrapText="1"/>
    </x:xf>
    <x:xf numFmtId="0" fontId="20" fillId="6" borderId="0" xfId="0" applyNumberFormat="1" applyFont="1" applyFill="1" applyBorder="1" applyAlignment="1">
      <x:alignment vertical="center"/>
    </x:xf>
    <x:xf numFmtId="0" fontId="20" fillId="6" borderId="0" xfId="0" applyNumberFormat="1" applyFont="1" applyFill="1" applyBorder="1" applyAlignment="1">
      <x:alignment horizontal="center" vertical="center"/>
    </x:xf>
    <x:xf numFmtId="0" fontId="8" fillId="6" borderId="0" xfId="0" applyNumberFormat="1" applyFont="1" applyFill="1" applyBorder="1" applyAlignment="1">
      <x:alignment horizontal="left" vertical="center" wrapText="0"/>
    </x:xf>
    <x:xf numFmtId="0" fontId="5" fillId="6" borderId="0" xfId="0" applyNumberFormat="1" applyFont="1" applyFill="1" applyBorder="1" applyAlignment="1">
      <x:alignment horizontal="left" vertical="center" wrapText="0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9" fillId="6" borderId="0" xfId="0" applyNumberFormat="1" applyFont="1" applyFill="1" applyBorder="1" applyAlignment="1">
      <x:alignment horizontal="left" vertical="center" wrapText="1"/>
    </x:xf>
    <x:xf numFmtId="0" fontId="12" fillId="6" borderId="0" xfId="0" applyNumberFormat="1" applyFont="1" applyFill="1" applyBorder="1" applyAlignment="1">
      <x:alignment horizontal="left" vertical="center" wrapText="0"/>
    </x:xf>
    <x:xf numFmtId="0" fontId="11" fillId="6" borderId="0" xfId="0" applyNumberFormat="1" applyFont="1" applyFill="1" applyBorder="1" applyAlignment="1">
      <x:alignment horizontal="left" vertical="center" wrapText="1"/>
    </x:xf>
    <x:xf numFmtId="0" fontId="12" fillId="6" borderId="0" xfId="0" applyNumberFormat="1" applyFont="1" applyFill="1" applyBorder="1" applyAlignment="1">
      <x:alignment horizontal="left" vertical="center" wrapText="1"/>
    </x:xf>
    <x:xf numFmtId="0" fontId="12" fillId="4" borderId="0" xfId="0" applyNumberFormat="1" applyFont="1" applyFill="1" applyBorder="1" applyAlignment="1">
      <x:alignment horizontal="left" vertical="center" wrapText="0"/>
    </x:xf>
    <x:xf numFmtId="0" fontId="21" fillId="4" borderId="0" xfId="0" applyNumberFormat="1" applyFont="1" applyFill="1" applyBorder="1" applyAlignment="1">
      <x:alignment horizontal="left" vertical="center" wrapText="0"/>
    </x:xf>
    <x:xf numFmtId="0" fontId="11" fillId="4" borderId="0" xfId="0" applyNumberFormat="1" applyFont="1" applyFill="1" applyBorder="1" applyAlignment="1">
      <x:alignment horizontal="left" vertical="center" wrapText="1"/>
    </x:xf>
    <x:xf numFmtId="0" fontId="12" fillId="4" borderId="0" xfId="0" applyNumberFormat="1" applyFont="1" applyFill="1" applyBorder="1" applyAlignment="1">
      <x:alignment horizontal="left" vertical="center" wrapText="1"/>
    </x:xf>
    <x:xf numFmtId="0" fontId="24" fillId="4" borderId="0" xfId="0" applyNumberFormat="1" applyFont="1" applyFill="1" applyBorder="1" applyAlignment="1">
      <x:alignment horizontal="left" vertical="center" wrapText="1"/>
    </x:xf>
    <x:xf numFmtId="0" fontId="24" fillId="4" borderId="0" xfId="0" applyNumberFormat="1" applyFont="1" applyFill="1" applyBorder="1" applyAlignment="1">
      <x:alignment vertical="center"/>
    </x:xf>
    <x:xf numFmtId="0" fontId="24" fillId="4" borderId="0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horizontal="center" vertical="center" wrapText="1"/>
    </x:xf>
    <x:xf numFmtId="0" fontId="17" fillId="6" borderId="0" xfId="0" applyNumberFormat="1" applyFont="1" applyFill="1" applyBorder="1" applyAlignment="1">
      <x:alignment horizontal="left" vertical="center" wrapText="1"/>
    </x:xf>
    <x:xf numFmtId="0" fontId="19" fillId="6" borderId="0" xfId="0" applyNumberFormat="1" applyFont="1" applyFill="1" applyBorder="1" applyAlignment="1">
      <x:alignment horizontal="left" vertical="center" wrapText="1"/>
    </x:xf>
    <x:xf numFmtId="0" fontId="17" fillId="6" borderId="0" xfId="0" applyNumberFormat="1" applyFont="1" applyFill="1" applyBorder="1" applyAlignment="1">
      <x:alignment vertical="center"/>
    </x:xf>
    <x:xf numFmtId="0" fontId="17" fillId="6" xfId="0" applyNumberFormat="1" applyFont="1" applyFill="1" applyBorder="0" applyAlignment="1">
      <x:alignment horizontal="left" vertical="center" wrapText="1"/>
    </x:xf>
    <x:xf numFmtId="0" fontId="19" fillId="6" xfId="0" applyNumberFormat="1" applyFont="1" applyFill="1" applyBorder="0" applyAlignment="1">
      <x:alignment horizontal="left" vertical="center" wrapText="1"/>
    </x:xf>
    <x:xf numFmtId="0" fontId="17" fillId="6" xfId="0" applyNumberFormat="1" applyFont="1" applyFill="1" applyBorder="0" applyAlignment="1">
      <x:alignment vertical="center"/>
    </x:xf>
    <x:xf numFmtId="0" fontId="17" fillId="6" borderId="0" xfId="0" applyNumberFormat="1" applyFont="1" applyFill="1" applyBorder="1" applyAlignment="1">
      <x:alignment vertical="center" wrapText="1"/>
    </x:xf>
    <x:xf numFmtId="0" fontId="17" fillId="6" xfId="0" applyNumberFormat="1" applyFont="1" applyFill="1" applyBorder="0" applyAlignment="1">
      <x:alignment vertical="center" wrapText="1"/>
    </x:xf>
    <x:xf numFmtId="0" fontId="17" fillId="14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horizontal="left" vertical="center" wrapText="1"/>
    </x:xf>
    <x:xf numFmtId="0" fontId="16" fillId="4" borderId="0" xfId="0" applyNumberFormat="1" applyFont="1" applyFill="1" applyBorder="1" applyAlignment="1">
      <x:alignment horizontal="left" vertical="center" wrapText="1"/>
    </x:xf>
    <x:xf numFmtId="0" fontId="16" fillId="4" borderId="0" xfId="0" applyNumberFormat="1" applyFont="1" applyFill="1" applyBorder="1" applyAlignment="1">
      <x:alignment vertical="center" wrapText="1"/>
    </x:xf>
    <x:xf numFmtId="0" fontId="16" fillId="4" borderId="0" xfId="0" applyNumberFormat="1" applyFont="1" applyFill="1" applyBorder="1" applyAlignment="1">
      <x:alignment horizontal="center" vertical="center" wrapText="1"/>
    </x:xf>
    <x:xf numFmtId="0" fontId="12" fillId="13" borderId="0" xfId="0" applyNumberFormat="1" applyFont="1" applyFill="1" applyBorder="1" applyAlignment="1">
      <x:alignment vertical="center" wrapText="1"/>
    </x:xf>
    <x:xf numFmtId="200" fontId="11" fillId="6" borderId="0" xfId="0" applyNumberFormat="1" applyFont="1" applyFill="1" applyBorder="1" applyAlignment="1">
      <x:alignment horizontal="left" vertical="center" wrapText="0"/>
    </x:xf>
    <x:xf numFmtId="0" fontId="26" fillId="4" borderId="0" xfId="0" applyNumberFormat="1" applyFont="1" applyFill="1" applyBorder="1" applyAlignment="1">
      <x:alignment horizontal="left" vertical="center" wrapText="0"/>
    </x:xf>
    <x:xf numFmtId="0" fontId="11" fillId="4" borderId="0" xfId="0" applyNumberFormat="1" applyFont="1" applyFill="1" applyBorder="1" applyAlignment="1">
      <x:alignment horizontal="left" vertical="center" wrapText="0"/>
    </x:xf>
    <x:xf numFmtId="200" fontId="11" fillId="4" borderId="0" xfId="0" applyNumberFormat="1" applyFont="1" applyFill="1" applyBorder="1" applyAlignment="1">
      <x:alignment horizontal="left" vertical="center" wrapText="0"/>
    </x:xf>
    <x:xf numFmtId="0" fontId="24" fillId="4" borderId="0" xfId="0" applyNumberFormat="1" applyFont="1" applyFill="1" applyBorder="1" applyAlignment="1">
      <x:alignment horizontal="left" vertical="center" wrapText="0"/>
    </x:xf>
    <x:xf numFmtId="200" fontId="24" fillId="4" borderId="0" xfId="0" applyNumberFormat="1" applyFont="1" applyFill="1" applyBorder="1" applyAlignment="1">
      <x:alignment horizontal="left" vertical="center" wrapText="0"/>
    </x:xf>
    <x:xf numFmtId="200" fontId="24" fillId="4" borderId="0" xfId="0" applyNumberFormat="1" applyFont="1" applyFill="1" applyBorder="1" applyAlignment="1">
      <x:alignment horizontal="left" vertical="center" wrapText="1"/>
    </x:xf>
    <x:xf numFmtId="200" fontId="24" fillId="4" borderId="0" xfId="0" applyNumberFormat="1" applyFont="1" applyFill="1" applyBorder="1" applyAlignment="1">
      <x:alignment horizontal="center" vertical="center" wrapText="1"/>
    </x:xf>
    <x:xf numFmtId="0" fontId="17" fillId="6" borderId="0" xfId="0" applyNumberFormat="1" applyFont="1" applyFill="1" applyBorder="1" applyAlignment="1">
      <x:alignment horizontal="left" vertical="center" wrapText="0"/>
    </x:xf>
    <x:xf numFmtId="200" fontId="17" fillId="6" borderId="0" xfId="0" applyNumberFormat="1" applyFont="1" applyFill="1" applyBorder="1" applyAlignment="1">
      <x:alignment horizontal="left" vertical="center" wrapText="0"/>
    </x:xf>
    <x:xf numFmtId="0" fontId="17" fillId="6" xfId="0" applyNumberFormat="1" applyFont="1" applyFill="1" applyBorder="0" applyAlignment="1">
      <x:alignment horizontal="left" vertical="center" wrapText="0"/>
    </x:xf>
    <x:xf numFmtId="200" fontId="17" fillId="6" xfId="0" applyNumberFormat="1" applyFont="1" applyFill="1" applyBorder="0" applyAlignment="1">
      <x:alignment horizontal="left" vertical="center" wrapText="0"/>
    </x:xf>
    <x:xf numFmtId="200" fontId="17" fillId="6" borderId="0" xfId="0" applyNumberFormat="1" applyFont="1" applyFill="1" applyBorder="1" applyAlignment="1">
      <x:alignment horizontal="left" vertical="center" wrapText="1"/>
    </x:xf>
    <x:xf numFmtId="200" fontId="17" fillId="6" xfId="0" applyNumberFormat="1" applyFont="1" applyFill="1" applyBorder="0" applyAlignment="1">
      <x:alignment horizontal="left" vertical="center" wrapText="1"/>
    </x:xf>
    <x:xf numFmtId="200" fontId="17" fillId="6" xfId="0" applyNumberFormat="1" applyFont="1" applyFill="1" applyBorder="0" applyAlignment="1">
      <x:alignment vertical="center" wrapText="1"/>
    </x:xf>
    <x:xf numFmtId="200" fontId="17" fillId="6" borderId="0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/>
    </x:xf>
    <x:xf numFmtId="0" fontId="26" fillId="4" borderId="0" xfId="0" applyNumberFormat="1" applyFont="1" applyFill="1" applyBorder="1" applyAlignment="1">
      <x:alignment horizontal="left" vertical="center"/>
    </x:xf>
    <x:xf numFmtId="0" fontId="17" fillId="13" borderId="0" xfId="0" applyNumberFormat="1" applyFont="1" applyFill="1" applyBorder="1" applyAlignment="1">
      <x:alignment horizontal="left" vertical="center" wrapText="1"/>
    </x:xf>
    <x:xf numFmtId="0" fontId="11" fillId="3" borderId="0" xfId="0" applyNumberFormat="1" applyFont="1" applyFill="1" applyBorder="1" applyAlignment="1">
      <x:alignment horizontal="left" vertical="center" wrapText="0"/>
    </x:xf>
    <x:xf numFmtId="0" fontId="16" fillId="3" borderId="0" xfId="0" applyNumberFormat="1" applyFont="1" applyFill="1" applyBorder="1" applyAlignment="1">
      <x:alignment horizontal="left" vertical="center" wrapText="0"/>
    </x:xf>
    <x:xf numFmtId="0" fontId="19" fillId="15" borderId="0" xfId="0" applyNumberFormat="1" applyFont="1" applyFill="1" applyBorder="1" applyAlignment="1">
      <x:alignment vertical="center" wrapText="1"/>
    </x:xf>
    <x:xf numFmtId="0" fontId="19" fillId="14" borderId="0" xfId="0" applyNumberFormat="1" applyFont="1" applyFill="1" applyBorder="1" applyAlignment="1">
      <x:alignment horizontal="center" vertical="center" wrapText="1"/>
    </x:xf>
    <x:xf numFmtId="0" fontId="17" fillId="18" borderId="0" xfId="0" applyNumberFormat="1" applyFont="1" applyFill="1" applyBorder="1" applyAlignment="1">
      <x:alignment horizontal="left" vertical="center" wrapText="1"/>
    </x:xf>
    <x:xf numFmtId="0" fontId="17" fillId="18" borderId="0" xfId="0" applyNumberFormat="1" applyFont="1" applyFill="1" applyBorder="1" applyAlignment="1">
      <x:alignment vertical="center" wrapText="1"/>
    </x:xf>
    <x:xf numFmtId="0" fontId="17" fillId="19" borderId="0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horizontal="center" vertical="center"/>
    </x:xf>
    <x:xf numFmtId="0" fontId="19" fillId="19" borderId="0" xfId="0" applyNumberFormat="1" applyFont="1" applyFill="1" applyBorder="1" applyAlignment="1">
      <x:alignment horizontal="center" vertical="center"/>
    </x:xf>
    <x:xf numFmtId="0" fontId="19" fillId="14" borderId="0" xfId="0" applyNumberFormat="1" applyFont="1" applyFill="1" applyBorder="1" applyAlignment="1">
      <x:alignment horizontal="left" vertical="center" wrapText="1"/>
    </x:xf>
    <x:xf numFmtId="200" fontId="0" fillId="6" borderId="0" xfId="0" applyNumberFormat="1" applyFont="1" applyFill="1" applyBorder="1"/>
    <x:xf numFmtId="200" fontId="11" fillId="6" borderId="0" xfId="0" applyNumberFormat="1" applyFont="1" applyFill="1" applyBorder="1"/>
    <x:xf numFmtId="200" fontId="11" fillId="6" borderId="0" xfId="0" applyNumberFormat="1" applyFont="1" applyFill="1" applyBorder="1" applyAlignment="1">
      <x:alignment vertical="center"/>
    </x:xf>
    <x:xf numFmtId="201" fontId="17" fillId="6" borderId="0" xfId="0" applyNumberFormat="1" applyFont="1" applyFill="1" applyBorder="1" applyAlignment="1">
      <x:alignment horizontal="left" vertical="center" wrapText="1"/>
    </x:xf>
    <x:xf numFmtId="200" fontId="11" fillId="3" borderId="0" xfId="0" applyNumberFormat="1" applyFont="1" applyFill="1" applyBorder="1" applyAlignment="1">
      <x:alignment vertical="center"/>
    </x:xf>
    <x:xf numFmtId="200" fontId="16" fillId="3" borderId="0" xfId="0" applyNumberFormat="1" applyFont="1" applyFill="1" applyBorder="1" applyAlignment="1">
      <x:alignment vertical="center"/>
    </x:xf>
    <x:xf numFmtId="200" fontId="16" fillId="3" borderId="0" xfId="0" applyNumberFormat="1" applyFont="1" applyFill="1" applyBorder="1" applyAlignment="1">
      <x:alignment horizontal="center" vertical="center"/>
    </x:xf>
    <x:xf numFmtId="0" fontId="28" fillId="14" borderId="0" xfId="0" applyNumberFormat="1" applyFont="1" applyFill="1" applyBorder="1" applyAlignment="1">
      <x:alignment horizontal="left" vertical="center" wrapText="1"/>
    </x:xf>
    <x:xf numFmtId="0" fontId="28" fillId="14" borderId="0" xfId="0" applyNumberFormat="1" applyFont="1" applyFill="1" applyBorder="1" applyAlignment="1">
      <x:alignment horizontal="center" vertical="center" wrapText="1"/>
    </x:xf>
    <x:xf numFmtId="200" fontId="17" fillId="6" borderId="0" xfId="0" applyNumberFormat="1" applyFont="1" applyFill="1" applyBorder="1" applyAlignment="1">
      <x:alignment vertical="center"/>
    </x:xf>
    <x:xf numFmtId="200" fontId="17" fillId="6" xfId="0" applyNumberFormat="1" applyFont="1" applyFill="1" applyBorder="0" applyAlignment="1">
      <x:alignment vertical="center"/>
    </x:xf>
    <x:xf numFmtId="201" fontId="17" fillId="18" borderId="0" xfId="0" applyNumberFormat="1" applyFont="1" applyFill="1" applyBorder="1" applyAlignment="1">
      <x:alignment horizontal="left" vertical="center" wrapText="1"/>
    </x:xf>
    <x:xf numFmtId="201" fontId="17" fillId="19" borderId="0" xfId="0" applyNumberFormat="1" applyFont="1" applyFill="1" applyBorder="1" applyAlignment="1">
      <x:alignment vertical="center" wrapText="1"/>
    </x:xf>
    <x:xf numFmtId="0" fontId="29" fillId="15" borderId="0" xfId="0" applyNumberFormat="1" applyFont="1" applyFill="1" applyBorder="1" applyAlignment="1">
      <x:alignment vertical="center" wrapText="1"/>
    </x:xf>
    <x:xf numFmtId="0" fontId="17" fillId="13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horizontal="right" vertical="center" wrapText="1"/>
    </x:xf>
    <x:xf numFmtId="0" fontId="18" fillId="20" borderId="26" xfId="0" applyNumberFormat="1" applyFont="1" applyFill="1" applyBorder="1" applyAlignment="1">
      <x:alignment horizontal="center" vertical="center" wrapText="1"/>
    </x:xf>
    <x:xf numFmtId="0" fontId="17" fillId="20" borderId="27" xfId="0" applyNumberFormat="1" applyFont="1" applyFill="1" applyBorder="1" applyAlignment="1">
      <x:alignment horizontal="left" vertical="center" wrapText="1"/>
    </x:xf>
    <x:xf numFmtId="0" fontId="17" fillId="20" borderId="28" xfId="0" applyNumberFormat="1" applyFont="1" applyFill="1" applyBorder="1" applyAlignment="1">
      <x:alignment horizontal="left" vertical="center" wrapText="1"/>
    </x:xf>
    <x:xf numFmtId="0" fontId="18" fillId="20" borderId="29" xfId="0" applyNumberFormat="1" applyFont="1" applyFill="1" applyBorder="1" applyAlignment="1">
      <x:alignment horizontal="center" vertical="center" wrapText="1"/>
    </x:xf>
    <x:xf numFmtId="0" fontId="17" fillId="20" xfId="0" applyNumberFormat="1" applyFont="1" applyFill="1" applyBorder="0" applyAlignment="1">
      <x:alignment horizontal="left" vertical="center" wrapText="1"/>
    </x:xf>
    <x:xf numFmtId="0" fontId="17" fillId="20" borderId="30" xfId="0" applyNumberFormat="1" applyFont="1" applyFill="1" applyBorder="1" applyAlignment="1">
      <x:alignment horizontal="left" vertical="center" wrapText="1"/>
    </x:xf>
    <x:xf numFmtId="0" fontId="18" fillId="20" borderId="31" xfId="0" applyNumberFormat="1" applyFont="1" applyFill="1" applyBorder="1" applyAlignment="1">
      <x:alignment horizontal="center" vertical="center" wrapText="1"/>
    </x:xf>
    <x:xf numFmtId="0" fontId="17" fillId="20" borderId="32" xfId="0" applyNumberFormat="1" applyFont="1" applyFill="1" applyBorder="1" applyAlignment="1">
      <x:alignment horizontal="left" vertical="center" wrapText="1"/>
    </x:xf>
    <x:xf numFmtId="0" fontId="17" fillId="20" borderId="33" xfId="0" applyNumberFormat="1" applyFont="1" applyFill="1" applyBorder="1" applyAlignment="1">
      <x:alignment horizontal="left" vertical="center" wrapText="1"/>
    </x:xf>
    <x:xf numFmtId="0" fontId="12" fillId="20" borderId="26" xfId="0" applyNumberFormat="1" applyFont="1" applyFill="1" applyBorder="1" applyAlignment="1">
      <x:alignment horizontal="center" vertical="center" wrapText="1"/>
    </x:xf>
    <x:xf numFmtId="0" fontId="12" fillId="20" borderId="27" xfId="0" applyNumberFormat="1" applyFont="1" applyFill="1" applyBorder="1" applyAlignment="1">
      <x:alignment horizontal="left" vertical="center" wrapText="1"/>
    </x:xf>
    <x:xf numFmtId="0" fontId="12" fillId="20" borderId="28" xfId="0" applyNumberFormat="1" applyFont="1" applyFill="1" applyBorder="1" applyAlignment="1">
      <x:alignment horizontal="left" vertical="center" wrapText="1"/>
    </x:xf>
    <x:xf numFmtId="0" fontId="12" fillId="20" borderId="29" xfId="0" applyNumberFormat="1" applyFont="1" applyFill="1" applyBorder="1" applyAlignment="1">
      <x:alignment horizontal="center" vertical="center" wrapText="1"/>
    </x:xf>
    <x:xf numFmtId="0" fontId="12" fillId="20" xfId="0" applyNumberFormat="1" applyFont="1" applyFill="1" applyBorder="0" applyAlignment="1">
      <x:alignment horizontal="left" vertical="center" wrapText="1"/>
    </x:xf>
    <x:xf numFmtId="0" fontId="12" fillId="20" borderId="30" xfId="0" applyNumberFormat="1" applyFont="1" applyFill="1" applyBorder="1" applyAlignment="1">
      <x:alignment horizontal="left" vertical="center" wrapText="1"/>
    </x:xf>
    <x:xf numFmtId="0" fontId="12" fillId="20" borderId="31" xfId="0" applyNumberFormat="1" applyFont="1" applyFill="1" applyBorder="1" applyAlignment="1">
      <x:alignment horizontal="center" vertical="center" wrapText="1"/>
    </x:xf>
    <x:xf numFmtId="0" fontId="12" fillId="20" borderId="32" xfId="0" applyNumberFormat="1" applyFont="1" applyFill="1" applyBorder="1" applyAlignment="1">
      <x:alignment horizontal="left" vertical="center" wrapText="1"/>
    </x:xf>
    <x:xf numFmtId="0" fontId="12" fillId="20" borderId="33" xfId="0" applyNumberFormat="1" applyFont="1" applyFill="1" applyBorder="1" applyAlignment="1">
      <x:alignment horizontal="left" vertical="center" wrapText="1"/>
    </x:xf>
    <x:xf numFmtId="0" fontId="12" fillId="20" borderId="60" xfId="0" applyNumberFormat="1" applyFont="1" applyFill="1" applyBorder="1" applyAlignment="1">
      <x:alignment horizontal="center" vertical="center" wrapText="1"/>
    </x:xf>
    <x:xf numFmtId="0" fontId="12" fillId="20" borderId="61" xfId="0" applyNumberFormat="1" applyFont="1" applyFill="1" applyBorder="1" applyAlignment="1">
      <x:alignment horizontal="left" vertical="center" wrapText="1"/>
    </x:xf>
    <x:xf numFmtId="0" fontId="12" fillId="20" borderId="62" xfId="0" applyNumberFormat="1" applyFont="1" applyFill="1" applyBorder="1" applyAlignment="1">
      <x:alignment horizontal="left" vertical="center" wrapText="1"/>
    </x:xf>
    <x:xf numFmtId="0" fontId="12" fillId="20" borderId="63" xfId="0" applyNumberFormat="1" applyFont="1" applyFill="1" applyBorder="1" applyAlignment="1">
      <x:alignment horizontal="center" vertical="center" wrapText="1"/>
    </x:xf>
    <x:xf numFmtId="0" fontId="12" fillId="20" borderId="64" xfId="0" applyNumberFormat="1" applyFont="1" applyFill="1" applyBorder="1" applyAlignment="1">
      <x:alignment horizontal="left" vertical="center" wrapText="1"/>
    </x:xf>
    <x:xf numFmtId="0" fontId="12" fillId="20" borderId="65" xfId="0" applyNumberFormat="1" applyFont="1" applyFill="1" applyBorder="1" applyAlignment="1">
      <x:alignment horizontal="center" vertical="center" wrapText="1"/>
    </x:xf>
    <x:xf numFmtId="0" fontId="12" fillId="20" borderId="66" xfId="0" applyNumberFormat="1" applyFont="1" applyFill="1" applyBorder="1" applyAlignment="1">
      <x:alignment horizontal="left" vertical="center" wrapText="1"/>
    </x:xf>
    <x:xf numFmtId="0" fontId="12" fillId="20" borderId="67" xfId="0" applyNumberFormat="1" applyFont="1" applyFill="1" applyBorder="1" applyAlignment="1">
      <x:alignment horizontal="left" vertical="center" wrapText="1"/>
    </x:xf>
    <x:xf numFmtId="0" fontId="12" fillId="20" borderId="61" xfId="0" applyNumberFormat="1" applyFont="1" applyFill="1" applyBorder="1" applyAlignment="1">
      <x:alignment horizontal="center" vertical="center" wrapText="1"/>
    </x:xf>
    <x:xf numFmtId="0" fontId="12" fillId="20" borderId="62" xfId="0" applyNumberFormat="1" applyFont="1" applyFill="1" applyBorder="1" applyAlignment="1">
      <x:alignment horizontal="center" vertical="center" wrapText="1"/>
    </x:xf>
    <x:xf numFmtId="0" fontId="12" fillId="20" xfId="0" applyNumberFormat="1" applyFont="1" applyFill="1" applyBorder="0" applyAlignment="1">
      <x:alignment horizontal="center" vertical="center" wrapText="1"/>
    </x:xf>
    <x:xf numFmtId="0" fontId="12" fillId="20" borderId="64" xfId="0" applyNumberFormat="1" applyFont="1" applyFill="1" applyBorder="1" applyAlignment="1">
      <x:alignment horizontal="center" vertical="center" wrapText="1"/>
    </x:xf>
    <x:xf numFmtId="0" fontId="12" fillId="20" borderId="66" xfId="0" applyNumberFormat="1" applyFont="1" applyFill="1" applyBorder="1" applyAlignment="1">
      <x:alignment horizontal="center" vertical="center" wrapText="1"/>
    </x:xf>
    <x:xf numFmtId="0" fontId="12" fillId="20" borderId="67" xfId="0" applyNumberFormat="1" applyFont="1" applyFill="1" applyBorder="1" applyAlignment="1">
      <x:alignment horizontal="center" vertical="center" wrapText="1"/>
    </x:xf>
    <x:xf numFmtId="0" fontId="18" fillId="20" borderId="0" xfId="0" applyNumberFormat="1" applyFont="1" applyFill="1" applyBorder="1" applyAlignment="1">
      <x:alignment horizontal="center" vertical="center" wrapText="1"/>
    </x:xf>
    <x:xf numFmtId="0" fontId="17" fillId="20" borderId="0" xfId="0" applyNumberFormat="1" applyFont="1" applyFill="1" applyBorder="1" applyAlignment="1">
      <x:alignment horizontal="left" vertical="center" wrapText="1"/>
    </x:xf>
    <x:xf numFmtId="0" fontId="12" fillId="20" borderId="0" xfId="0" applyNumberFormat="1" applyFont="1" applyFill="1" applyBorder="1" applyAlignment="1">
      <x:alignment horizontal="center" vertical="center" wrapText="1"/>
    </x:xf>
    <x:xf numFmtId="0" fontId="12" fillId="20" borderId="0" xfId="0" applyNumberFormat="1" applyFont="1" applyFill="1" applyBorder="1" applyAlignment="1">
      <x:alignment horizontal="left" vertical="center" wrapText="1"/>
    </x:xf>
    <x:xf numFmtId="0" fontId="18" fillId="21" borderId="26" xfId="0" applyNumberFormat="1" applyFont="1" applyFill="1" applyBorder="1" applyAlignment="1">
      <x:alignment horizontal="center" vertical="center" wrapText="1"/>
    </x:xf>
    <x:xf numFmtId="0" fontId="17" fillId="21" borderId="27" xfId="0" applyNumberFormat="1" applyFont="1" applyFill="1" applyBorder="1" applyAlignment="1">
      <x:alignment horizontal="left" vertical="center" wrapText="1"/>
    </x:xf>
    <x:xf numFmtId="0" fontId="17" fillId="21" borderId="28" xfId="0" applyNumberFormat="1" applyFont="1" applyFill="1" applyBorder="1" applyAlignment="1">
      <x:alignment vertical="center" wrapText="1"/>
    </x:xf>
    <x:xf numFmtId="0" fontId="18" fillId="21" borderId="29" xfId="0" applyNumberFormat="1" applyFont="1" applyFill="1" applyBorder="1" applyAlignment="1">
      <x:alignment horizontal="center" vertical="center" wrapText="1"/>
    </x:xf>
    <x:xf numFmtId="0" fontId="17" fillId="21" xfId="0" applyNumberFormat="1" applyFont="1" applyFill="1" applyBorder="0" applyAlignment="1">
      <x:alignment horizontal="left" vertical="center" wrapText="1"/>
    </x:xf>
    <x:xf numFmtId="0" fontId="17" fillId="21" borderId="30" xfId="0" applyNumberFormat="1" applyFont="1" applyFill="1" applyBorder="1" applyAlignment="1">
      <x:alignment vertical="center" wrapText="1"/>
    </x:xf>
    <x:xf numFmtId="0" fontId="18" fillId="21" borderId="31" xfId="0" applyNumberFormat="1" applyFont="1" applyFill="1" applyBorder="1" applyAlignment="1">
      <x:alignment horizontal="center" vertical="center" wrapText="1"/>
    </x:xf>
    <x:xf numFmtId="0" fontId="17" fillId="21" borderId="32" xfId="0" applyNumberFormat="1" applyFont="1" applyFill="1" applyBorder="1" applyAlignment="1">
      <x:alignment horizontal="left" vertical="center" wrapText="1"/>
    </x:xf>
    <x:xf numFmtId="0" fontId="17" fillId="21" borderId="33" xfId="0" applyNumberFormat="1" applyFont="1" applyFill="1" applyBorder="1" applyAlignment="1">
      <x:alignment vertical="center" wrapText="1"/>
    </x:xf>
    <x:xf numFmtId="0" fontId="12" fillId="21" borderId="26" xfId="0" applyNumberFormat="1" applyFont="1" applyFill="1" applyBorder="1" applyAlignment="1">
      <x:alignment horizontal="center" vertical="center" wrapText="1"/>
    </x:xf>
    <x:xf numFmtId="0" fontId="12" fillId="21" borderId="27" xfId="0" applyNumberFormat="1" applyFont="1" applyFill="1" applyBorder="1" applyAlignment="1">
      <x:alignment horizontal="left" vertical="center" wrapText="1"/>
    </x:xf>
    <x:xf numFmtId="0" fontId="12" fillId="21" borderId="28" xfId="0" applyNumberFormat="1" applyFont="1" applyFill="1" applyBorder="1" applyAlignment="1">
      <x:alignment vertical="center" wrapText="1"/>
    </x:xf>
    <x:xf numFmtId="0" fontId="12" fillId="21" borderId="29" xfId="0" applyNumberFormat="1" applyFont="1" applyFill="1" applyBorder="1" applyAlignment="1">
      <x:alignment horizontal="center" vertical="center" wrapText="1"/>
    </x:xf>
    <x:xf numFmtId="0" fontId="12" fillId="21" xfId="0" applyNumberFormat="1" applyFont="1" applyFill="1" applyBorder="0" applyAlignment="1">
      <x:alignment horizontal="left" vertical="center" wrapText="1"/>
    </x:xf>
    <x:xf numFmtId="0" fontId="12" fillId="21" borderId="30" xfId="0" applyNumberFormat="1" applyFont="1" applyFill="1" applyBorder="1" applyAlignment="1">
      <x:alignment vertical="center" wrapText="1"/>
    </x:xf>
    <x:xf numFmtId="0" fontId="12" fillId="21" borderId="31" xfId="0" applyNumberFormat="1" applyFont="1" applyFill="1" applyBorder="1" applyAlignment="1">
      <x:alignment horizontal="center" vertical="center" wrapText="1"/>
    </x:xf>
    <x:xf numFmtId="0" fontId="12" fillId="21" borderId="32" xfId="0" applyNumberFormat="1" applyFont="1" applyFill="1" applyBorder="1" applyAlignment="1">
      <x:alignment horizontal="left" vertical="center" wrapText="1"/>
    </x:xf>
    <x:xf numFmtId="0" fontId="12" fillId="21" borderId="33" xfId="0" applyNumberFormat="1" applyFont="1" applyFill="1" applyBorder="1" applyAlignment="1">
      <x:alignment vertical="center" wrapText="1"/>
    </x:xf>
    <x:xf numFmtId="0" fontId="12" fillId="21" borderId="68" xfId="0" applyNumberFormat="1" applyFont="1" applyFill="1" applyBorder="1" applyAlignment="1">
      <x:alignment horizontal="center" vertical="center" wrapText="1"/>
    </x:xf>
    <x:xf numFmtId="0" fontId="12" fillId="21" borderId="69" xfId="0" applyNumberFormat="1" applyFont="1" applyFill="1" applyBorder="1" applyAlignment="1">
      <x:alignment horizontal="left" vertical="center" wrapText="1"/>
    </x:xf>
    <x:xf numFmtId="0" fontId="12" fillId="21" borderId="70" xfId="0" applyNumberFormat="1" applyFont="1" applyFill="1" applyBorder="1" applyAlignment="1">
      <x:alignment vertical="center" wrapText="1"/>
    </x:xf>
    <x:xf numFmtId="0" fontId="12" fillId="21" borderId="71" xfId="0" applyNumberFormat="1" applyFont="1" applyFill="1" applyBorder="1" applyAlignment="1">
      <x:alignment horizontal="center" vertical="center" wrapText="1"/>
    </x:xf>
    <x:xf numFmtId="0" fontId="12" fillId="21" borderId="64" xfId="0" applyNumberFormat="1" applyFont="1" applyFill="1" applyBorder="1" applyAlignment="1">
      <x:alignment vertical="center" wrapText="1"/>
    </x:xf>
    <x:xf numFmtId="0" fontId="12" fillId="21" borderId="72" xfId="0" applyNumberFormat="1" applyFont="1" applyFill="1" applyBorder="1" applyAlignment="1">
      <x:alignment horizontal="center" vertical="center" wrapText="1"/>
    </x:xf>
    <x:xf numFmtId="0" fontId="12" fillId="21" borderId="66" xfId="0" applyNumberFormat="1" applyFont="1" applyFill="1" applyBorder="1" applyAlignment="1">
      <x:alignment horizontal="left" vertical="center" wrapText="1"/>
    </x:xf>
    <x:xf numFmtId="0" fontId="12" fillId="21" borderId="67" xfId="0" applyNumberFormat="1" applyFont="1" applyFill="1" applyBorder="1" applyAlignment="1">
      <x:alignment vertical="center" wrapText="1"/>
    </x:xf>
    <x:xf numFmtId="0" fontId="12" fillId="21" borderId="69" xfId="0" applyNumberFormat="1" applyFont="1" applyFill="1" applyBorder="1" applyAlignment="1">
      <x:alignment horizontal="center" vertical="center" wrapText="1"/>
    </x:xf>
    <x:xf numFmtId="0" fontId="12" fillId="21" borderId="70" xfId="0" applyNumberFormat="1" applyFont="1" applyFill="1" applyBorder="1" applyAlignment="1">
      <x:alignment horizontal="center" vertical="center" wrapText="1"/>
    </x:xf>
    <x:xf numFmtId="0" fontId="12" fillId="21" xfId="0" applyNumberFormat="1" applyFont="1" applyFill="1" applyBorder="0" applyAlignment="1">
      <x:alignment horizontal="center" vertical="center" wrapText="1"/>
    </x:xf>
    <x:xf numFmtId="0" fontId="12" fillId="21" borderId="64" xfId="0" applyNumberFormat="1" applyFont="1" applyFill="1" applyBorder="1" applyAlignment="1">
      <x:alignment horizontal="center" vertical="center" wrapText="1"/>
    </x:xf>
    <x:xf numFmtId="0" fontId="12" fillId="21" borderId="66" xfId="0" applyNumberFormat="1" applyFont="1" applyFill="1" applyBorder="1" applyAlignment="1">
      <x:alignment horizontal="center" vertical="center" wrapText="1"/>
    </x:xf>
    <x:xf numFmtId="0" fontId="12" fillId="21" borderId="67" xfId="0" applyNumberFormat="1" applyFont="1" applyFill="1" applyBorder="1" applyAlignment="1">
      <x:alignment horizontal="center" vertical="center" wrapText="1"/>
    </x:xf>
    <x:xf numFmtId="0" fontId="18" fillId="21" borderId="0" xfId="0" applyNumberFormat="1" applyFont="1" applyFill="1" applyBorder="1" applyAlignment="1">
      <x:alignment horizontal="center" vertical="center" wrapText="1"/>
    </x:xf>
    <x:xf numFmtId="0" fontId="17" fillId="21" borderId="0" xfId="0" applyNumberFormat="1" applyFont="1" applyFill="1" applyBorder="1" applyAlignment="1">
      <x:alignment horizontal="left" vertical="center" wrapText="1"/>
    </x:xf>
    <x:xf numFmtId="0" fontId="17" fillId="21" borderId="0" xfId="0" applyNumberFormat="1" applyFont="1" applyFill="1" applyBorder="1" applyAlignment="1">
      <x:alignment vertical="center" wrapText="1"/>
    </x:xf>
    <x:xf numFmtId="0" fontId="12" fillId="21" borderId="0" xfId="0" applyNumberFormat="1" applyFont="1" applyFill="1" applyBorder="1" applyAlignment="1">
      <x:alignment horizontal="center" vertical="center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2" fillId="21" borderId="0" xfId="0" applyNumberFormat="1" applyFont="1" applyFill="1" applyBorder="1" applyAlignment="1">
      <x:alignment vertical="center" wrapText="1"/>
    </x:xf>
    <x:xf numFmtId="0" fontId="18" fillId="22" borderId="26" xfId="0" applyNumberFormat="1" applyFont="1" applyFill="1" applyBorder="1" applyAlignment="1">
      <x:alignment horizontal="center" vertical="center" wrapText="1"/>
    </x:xf>
    <x:xf numFmtId="0" fontId="17" fillId="22" borderId="27" xfId="0" applyNumberFormat="1" applyFont="1" applyFill="1" applyBorder="1" applyAlignment="1">
      <x:alignment vertical="center" wrapText="1"/>
    </x:xf>
    <x:xf numFmtId="0" fontId="17" fillId="22" borderId="28" xfId="0" applyNumberFormat="1" applyFont="1" applyFill="1" applyBorder="1" applyAlignment="1">
      <x:alignment vertical="center" wrapText="1"/>
    </x:xf>
    <x:xf numFmtId="0" fontId="18" fillId="22" borderId="29" xfId="0" applyNumberFormat="1" applyFont="1" applyFill="1" applyBorder="1" applyAlignment="1">
      <x:alignment horizontal="center" vertical="center" wrapText="1"/>
    </x:xf>
    <x:xf numFmtId="0" fontId="19" fillId="22" xfId="0" applyNumberFormat="1" applyFont="1" applyFill="1" applyBorder="0" applyAlignment="1">
      <x:alignment horizontal="center" vertical="center" wrapText="1"/>
    </x:xf>
    <x:xf numFmtId="0" fontId="19" fillId="22" borderId="30" xfId="0" applyNumberFormat="1" applyFont="1" applyFill="1" applyBorder="1" applyAlignment="1">
      <x:alignment horizontal="center" vertical="center" wrapText="1"/>
    </x:xf>
    <x:xf numFmtId="0" fontId="18" fillId="22" borderId="31" xfId="0" applyNumberFormat="1" applyFont="1" applyFill="1" applyBorder="1" applyAlignment="1">
      <x:alignment horizontal="center" vertical="center" wrapText="1"/>
    </x:xf>
    <x:xf numFmtId="0" fontId="17" fillId="22" borderId="32" xfId="0" applyNumberFormat="1" applyFont="1" applyFill="1" applyBorder="1" applyAlignment="1">
      <x:alignment vertical="center" wrapText="1"/>
    </x:xf>
    <x:xf numFmtId="0" fontId="17" fillId="22" borderId="33" xfId="0" applyNumberFormat="1" applyFont="1" applyFill="1" applyBorder="1" applyAlignment="1">
      <x:alignment vertical="center" wrapText="1"/>
    </x:xf>
    <x:xf numFmtId="0" fontId="12" fillId="22" borderId="26" xfId="0" applyNumberFormat="1" applyFont="1" applyFill="1" applyBorder="1" applyAlignment="1">
      <x:alignment horizontal="center" vertical="center" wrapText="1"/>
    </x:xf>
    <x:xf numFmtId="0" fontId="12" fillId="22" borderId="27" xfId="0" applyNumberFormat="1" applyFont="1" applyFill="1" applyBorder="1" applyAlignment="1">
      <x:alignment vertical="center" wrapText="1"/>
    </x:xf>
    <x:xf numFmtId="0" fontId="12" fillId="22" borderId="28" xfId="0" applyNumberFormat="1" applyFont="1" applyFill="1" applyBorder="1" applyAlignment="1">
      <x:alignment vertical="center" wrapText="1"/>
    </x:xf>
    <x:xf numFmtId="0" fontId="12" fillId="22" borderId="29" xfId="0" applyNumberFormat="1" applyFont="1" applyFill="1" applyBorder="1" applyAlignment="1">
      <x:alignment horizontal="center" vertical="center" wrapText="1"/>
    </x:xf>
    <x:xf numFmtId="0" fontId="12" fillId="22" xfId="0" applyNumberFormat="1" applyFont="1" applyFill="1" applyBorder="0" applyAlignment="1">
      <x:alignment horizontal="center" vertical="center" wrapText="1"/>
    </x:xf>
    <x:xf numFmtId="0" fontId="12" fillId="22" borderId="30" xfId="0" applyNumberFormat="1" applyFont="1" applyFill="1" applyBorder="1" applyAlignment="1">
      <x:alignment horizontal="center" vertical="center" wrapText="1"/>
    </x:xf>
    <x:xf numFmtId="0" fontId="12" fillId="22" borderId="31" xfId="0" applyNumberFormat="1" applyFont="1" applyFill="1" applyBorder="1" applyAlignment="1">
      <x:alignment horizontal="center" vertical="center" wrapText="1"/>
    </x:xf>
    <x:xf numFmtId="0" fontId="12" fillId="22" borderId="32" xfId="0" applyNumberFormat="1" applyFont="1" applyFill="1" applyBorder="1" applyAlignment="1">
      <x:alignment vertical="center" wrapText="1"/>
    </x:xf>
    <x:xf numFmtId="0" fontId="12" fillId="22" borderId="33" xfId="0" applyNumberFormat="1" applyFont="1" applyFill="1" applyBorder="1" applyAlignment="1">
      <x:alignment vertical="center" wrapText="1"/>
    </x:xf>
    <x:xf numFmtId="0" fontId="12" fillId="22" borderId="73" xfId="0" applyNumberFormat="1" applyFont="1" applyFill="1" applyBorder="1" applyAlignment="1">
      <x:alignment horizontal="center" vertical="center" wrapText="1"/>
    </x:xf>
    <x:xf numFmtId="0" fontId="12" fillId="22" borderId="74" xfId="0" applyNumberFormat="1" applyFont="1" applyFill="1" applyBorder="1" applyAlignment="1">
      <x:alignment vertical="center" wrapText="1"/>
    </x:xf>
    <x:xf numFmtId="0" fontId="12" fillId="22" borderId="75" xfId="0" applyNumberFormat="1" applyFont="1" applyFill="1" applyBorder="1" applyAlignment="1">
      <x:alignment vertical="center" wrapText="1"/>
    </x:xf>
    <x:xf numFmtId="0" fontId="12" fillId="22" borderId="76" xfId="0" applyNumberFormat="1" applyFont="1" applyFill="1" applyBorder="1" applyAlignment="1">
      <x:alignment horizontal="center" vertical="center" wrapText="1"/>
    </x:xf>
    <x:xf numFmtId="0" fontId="12" fillId="22" borderId="64" xfId="0" applyNumberFormat="1" applyFont="1" applyFill="1" applyBorder="1" applyAlignment="1">
      <x:alignment horizontal="center" vertical="center" wrapText="1"/>
    </x:xf>
    <x:xf numFmtId="0" fontId="12" fillId="22" borderId="77" xfId="0" applyNumberFormat="1" applyFont="1" applyFill="1" applyBorder="1" applyAlignment="1">
      <x:alignment horizontal="center" vertical="center" wrapText="1"/>
    </x:xf>
    <x:xf numFmtId="0" fontId="12" fillId="22" borderId="66" xfId="0" applyNumberFormat="1" applyFont="1" applyFill="1" applyBorder="1" applyAlignment="1">
      <x:alignment vertical="center" wrapText="1"/>
    </x:xf>
    <x:xf numFmtId="0" fontId="12" fillId="22" borderId="67" xfId="0" applyNumberFormat="1" applyFont="1" applyFill="1" applyBorder="1" applyAlignment="1">
      <x:alignment vertical="center" wrapText="1"/>
    </x:xf>
    <x:xf numFmtId="0" fontId="12" fillId="22" borderId="74" xfId="0" applyNumberFormat="1" applyFont="1" applyFill="1" applyBorder="1" applyAlignment="1">
      <x:alignment horizontal="center" vertical="center" wrapText="1"/>
    </x:xf>
    <x:xf numFmtId="0" fontId="12" fillId="22" borderId="75" xfId="0" applyNumberFormat="1" applyFont="1" applyFill="1" applyBorder="1" applyAlignment="1">
      <x:alignment horizontal="center" vertical="center" wrapText="1"/>
    </x:xf>
    <x:xf numFmtId="0" fontId="12" fillId="22" borderId="66" xfId="0" applyNumberFormat="1" applyFont="1" applyFill="1" applyBorder="1" applyAlignment="1">
      <x:alignment horizontal="center" vertical="center" wrapText="1"/>
    </x:xf>
    <x:xf numFmtId="0" fontId="12" fillId="22" borderId="67" xfId="0" applyNumberFormat="1" applyFont="1" applyFill="1" applyBorder="1" applyAlignment="1">
      <x:alignment horizontal="center" vertic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7" fillId="22" borderId="0" xfId="0" applyNumberFormat="1" applyFont="1" applyFill="1" applyBorder="1" applyAlignment="1">
      <x:alignment vertical="center" wrapText="1"/>
    </x:xf>
    <x:xf numFmtId="0" fontId="19" fillId="22" borderId="0" xfId="0" applyNumberFormat="1" applyFont="1" applyFill="1" applyBorder="1" applyAlignment="1">
      <x:alignment horizontal="center" vertical="center" wrapText="1"/>
    </x:xf>
    <x:xf numFmtId="0" fontId="12" fillId="22" borderId="0" xfId="0" applyNumberFormat="1" applyFont="1" applyFill="1" applyBorder="1" applyAlignment="1">
      <x:alignment horizontal="center" vertical="center" wrapText="1"/>
    </x:xf>
    <x:xf numFmtId="0" fontId="12" fillId="22" borderId="0" xfId="0" applyNumberFormat="1" applyFont="1" applyFill="1" applyBorder="1" applyAlignment="1">
      <x:alignment vertical="center" wrapText="1"/>
    </x:xf>
    <x:xf numFmtId="0" fontId="18" fillId="23" borderId="26" xfId="0" applyNumberFormat="1" applyFont="1" applyFill="1" applyBorder="1" applyAlignment="1">
      <x:alignment horizontal="center" vertical="center" wrapText="1"/>
    </x:xf>
    <x:xf numFmtId="0" fontId="17" fillId="23" borderId="27" xfId="0" applyNumberFormat="1" applyFont="1" applyFill="1" applyBorder="1" applyAlignment="1">
      <x:alignment vertical="center" wrapText="1"/>
    </x:xf>
    <x:xf numFmtId="0" fontId="17" fillId="23" borderId="28" xfId="0" applyNumberFormat="1" applyFont="1" applyFill="1" applyBorder="1" applyAlignment="1">
      <x:alignment vertical="center" wrapText="1"/>
    </x:xf>
    <x:xf numFmtId="0" fontId="18" fillId="23" borderId="29" xfId="0" applyNumberFormat="1" applyFont="1" applyFill="1" applyBorder="1" applyAlignment="1">
      <x:alignment horizontal="center" vertical="center" wrapText="1"/>
    </x:xf>
    <x:xf numFmtId="0" fontId="19" fillId="23" xfId="0" applyNumberFormat="1" applyFont="1" applyFill="1" applyBorder="0" applyAlignment="1">
      <x:alignment horizontal="center" vertical="center" wrapText="1"/>
    </x:xf>
    <x:xf numFmtId="0" fontId="19" fillId="23" borderId="30" xfId="0" applyNumberFormat="1" applyFont="1" applyFill="1" applyBorder="1" applyAlignment="1">
      <x:alignment horizontal="center" vertical="center" wrapText="1"/>
    </x:xf>
    <x:xf numFmtId="0" fontId="18" fillId="23" borderId="31" xfId="0" applyNumberFormat="1" applyFont="1" applyFill="1" applyBorder="1" applyAlignment="1">
      <x:alignment horizontal="center" vertical="center" wrapText="1"/>
    </x:xf>
    <x:xf numFmtId="0" fontId="17" fillId="23" borderId="32" xfId="0" applyNumberFormat="1" applyFont="1" applyFill="1" applyBorder="1" applyAlignment="1">
      <x:alignment vertical="center" wrapText="1"/>
    </x:xf>
    <x:xf numFmtId="0" fontId="17" fillId="23" borderId="33" xfId="0" applyNumberFormat="1" applyFont="1" applyFill="1" applyBorder="1" applyAlignment="1">
      <x:alignment vertical="center" wrapText="1"/>
    </x:xf>
    <x:xf numFmtId="0" fontId="12" fillId="23" borderId="26" xfId="0" applyNumberFormat="1" applyFont="1" applyFill="1" applyBorder="1" applyAlignment="1">
      <x:alignment horizontal="center" vertical="center" wrapText="1"/>
    </x:xf>
    <x:xf numFmtId="0" fontId="12" fillId="23" borderId="27" xfId="0" applyNumberFormat="1" applyFont="1" applyFill="1" applyBorder="1" applyAlignment="1">
      <x:alignment vertical="center" wrapText="1"/>
    </x:xf>
    <x:xf numFmtId="0" fontId="12" fillId="23" borderId="28" xfId="0" applyNumberFormat="1" applyFont="1" applyFill="1" applyBorder="1" applyAlignment="1">
      <x:alignment vertical="center" wrapText="1"/>
    </x:xf>
    <x:xf numFmtId="0" fontId="12" fillId="23" borderId="29" xfId="0" applyNumberFormat="1" applyFont="1" applyFill="1" applyBorder="1" applyAlignment="1">
      <x:alignment horizontal="center" vertical="center" wrapText="1"/>
    </x:xf>
    <x:xf numFmtId="0" fontId="12" fillId="23" xfId="0" applyNumberFormat="1" applyFont="1" applyFill="1" applyBorder="0" applyAlignment="1">
      <x:alignment horizontal="center" vertical="center" wrapText="1"/>
    </x:xf>
    <x:xf numFmtId="0" fontId="12" fillId="23" borderId="30" xfId="0" applyNumberFormat="1" applyFont="1" applyFill="1" applyBorder="1" applyAlignment="1">
      <x:alignment horizontal="center" vertical="center" wrapText="1"/>
    </x:xf>
    <x:xf numFmtId="0" fontId="12" fillId="23" borderId="31" xfId="0" applyNumberFormat="1" applyFont="1" applyFill="1" applyBorder="1" applyAlignment="1">
      <x:alignment horizontal="center" vertical="center" wrapText="1"/>
    </x:xf>
    <x:xf numFmtId="0" fontId="12" fillId="23" borderId="32" xfId="0" applyNumberFormat="1" applyFont="1" applyFill="1" applyBorder="1" applyAlignment="1">
      <x:alignment vertical="center" wrapText="1"/>
    </x:xf>
    <x:xf numFmtId="0" fontId="12" fillId="23" borderId="33" xfId="0" applyNumberFormat="1" applyFont="1" applyFill="1" applyBorder="1" applyAlignment="1">
      <x:alignment vertical="center" wrapText="1"/>
    </x:xf>
    <x:xf numFmtId="0" fontId="12" fillId="23" borderId="78" xfId="0" applyNumberFormat="1" applyFont="1" applyFill="1" applyBorder="1" applyAlignment="1">
      <x:alignment horizontal="center" vertical="center" wrapText="1"/>
    </x:xf>
    <x:xf numFmtId="0" fontId="12" fillId="23" borderId="79" xfId="0" applyNumberFormat="1" applyFont="1" applyFill="1" applyBorder="1" applyAlignment="1">
      <x:alignment vertical="center" wrapText="1"/>
    </x:xf>
    <x:xf numFmtId="0" fontId="12" fillId="23" borderId="80" xfId="0" applyNumberFormat="1" applyFont="1" applyFill="1" applyBorder="1" applyAlignment="1">
      <x:alignment vertical="center" wrapText="1"/>
    </x:xf>
    <x:xf numFmtId="0" fontId="12" fillId="23" borderId="81" xfId="0" applyNumberFormat="1" applyFont="1" applyFill="1" applyBorder="1" applyAlignment="1">
      <x:alignment horizontal="center" vertical="center" wrapText="1"/>
    </x:xf>
    <x:xf numFmtId="0" fontId="12" fillId="23" borderId="64" xfId="0" applyNumberFormat="1" applyFont="1" applyFill="1" applyBorder="1" applyAlignment="1">
      <x:alignment horizontal="center" vertical="center" wrapText="1"/>
    </x:xf>
    <x:xf numFmtId="0" fontId="12" fillId="23" borderId="82" xfId="0" applyNumberFormat="1" applyFont="1" applyFill="1" applyBorder="1" applyAlignment="1">
      <x:alignment horizontal="center" vertical="center" wrapText="1"/>
    </x:xf>
    <x:xf numFmtId="0" fontId="12" fillId="23" borderId="66" xfId="0" applyNumberFormat="1" applyFont="1" applyFill="1" applyBorder="1" applyAlignment="1">
      <x:alignment vertical="center" wrapText="1"/>
    </x:xf>
    <x:xf numFmtId="0" fontId="12" fillId="23" borderId="67" xfId="0" applyNumberFormat="1" applyFont="1" applyFill="1" applyBorder="1" applyAlignment="1">
      <x:alignment vertical="center" wrapText="1"/>
    </x:xf>
    <x:xf numFmtId="0" fontId="12" fillId="23" borderId="79" xfId="0" applyNumberFormat="1" applyFont="1" applyFill="1" applyBorder="1" applyAlignment="1">
      <x:alignment horizontal="center" vertical="center" wrapText="1"/>
    </x:xf>
    <x:xf numFmtId="0" fontId="12" fillId="23" borderId="80" xfId="0" applyNumberFormat="1" applyFont="1" applyFill="1" applyBorder="1" applyAlignment="1">
      <x:alignment horizontal="center" vertical="center" wrapText="1"/>
    </x:xf>
    <x:xf numFmtId="0" fontId="12" fillId="23" borderId="66" xfId="0" applyNumberFormat="1" applyFont="1" applyFill="1" applyBorder="1" applyAlignment="1">
      <x:alignment horizontal="center" vertical="center" wrapText="1"/>
    </x:xf>
    <x:xf numFmtId="0" fontId="12" fillId="23" borderId="67" xfId="0" applyNumberFormat="1" applyFont="1" applyFill="1" applyBorder="1" applyAlignment="1">
      <x:alignment horizontal="center" vertical="center" wrapText="1"/>
    </x:xf>
    <x:xf numFmtId="0" fontId="18" fillId="23" borderId="0" xfId="0" applyNumberFormat="1" applyFont="1" applyFill="1" applyBorder="1" applyAlignment="1">
      <x:alignment horizontal="center" vertical="center" wrapText="1"/>
    </x:xf>
    <x:xf numFmtId="0" fontId="17" fillId="23" borderId="0" xfId="0" applyNumberFormat="1" applyFont="1" applyFill="1" applyBorder="1" applyAlignment="1">
      <x:alignment vertical="center" wrapText="1"/>
    </x:xf>
    <x:xf numFmtId="0" fontId="19" fillId="23" borderId="0" xfId="0" applyNumberFormat="1" applyFont="1" applyFill="1" applyBorder="1" applyAlignment="1">
      <x:alignment horizontal="center" vertical="center" wrapText="1"/>
    </x:xf>
    <x:xf numFmtId="0" fontId="12" fillId="23" borderId="0" xfId="0" applyNumberFormat="1" applyFont="1" applyFill="1" applyBorder="1" applyAlignment="1">
      <x:alignment horizontal="center" vertical="center" wrapText="1"/>
    </x:xf>
    <x:xf numFmtId="0" fontId="12" fillId="23" borderId="0" xfId="0" applyNumberFormat="1" applyFont="1" applyFill="1" applyBorder="1" applyAlignment="1">
      <x:alignment vertical="center" wrapText="1"/>
    </x:xf>
    <x:xf numFmtId="0" fontId="31" fillId="13" xfId="0" applyNumberFormat="1" applyFont="1" applyFill="1" applyBorder="0" applyAlignment="1">
      <x:alignment horizontal="right" vertical="center" wrapText="1"/>
    </x:xf>
    <x:xf numFmtId="0" fontId="31" fillId="13" borderId="30" xfId="0" applyNumberFormat="1" applyFont="1" applyFill="1" applyBorder="1" applyAlignment="1">
      <x:alignment horizontal="right" vertical="center" wrapText="1"/>
    </x:xf>
    <x:xf numFmtId="0" fontId="31" fillId="13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dxfs count="4">
    <x:dxf>
      <x:font>
        <x:b/>
        <x:color rgb="FFFF7900"/>
      </x:font>
      <x:fill>
        <x:patternFill>
          <x:bgColor rgb="FFFFF3E8"/>
        </x:patternFill>
      </x:fill>
    </x:dxf>
    <x:dxf>
      <x:font>
        <x:b/>
        <x:color rgb="FFFF7900"/>
      </x:font>
      <x:fill>
        <x:patternFill>
          <x:bgColor rgb="FFFFF3E8"/>
        </x:patternFill>
      </x:fill>
    </x:dxf>
    <x:dxf>
      <x:font>
        <x:b/>
        <x:color rgb="FFFF7900"/>
      </x:font>
      <x:fill>
        <x:patternFill>
          <x:bgColor rgb="FFFFF3E8"/>
        </x:patternFill>
      </x:fill>
    </x:dxf>
    <x:dxf>
      <x:font>
        <x:b/>
        <x:color rgb="FF50BE87"/>
      </x:font>
      <x:fill>
        <x:patternFill>
          <x:bgColor rgb="FFEAF8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2120f03c414371" /><Relationship Type="http://schemas.openxmlformats.org/officeDocument/2006/relationships/theme" Target="/xl/theme/theme1.xml" Id="R93e40eaa040f4330" /><Relationship Type="http://schemas.openxmlformats.org/officeDocument/2006/relationships/sheetMetadata" Target="/xl/metadata1.xml" Id="R1c2f2d02afac4eef" /><Relationship Type="http://schemas.openxmlformats.org/officeDocument/2006/relationships/sharedStrings" Target="/xl/sharedStrings.xml" Id="R18ce616af0df4775" /><Relationship Type="http://schemas.openxmlformats.org/officeDocument/2006/relationships/worksheet" Target="/xl/worksheets/sheet1.xml" Id="R26c374b089fa44ff" /><Relationship Type="http://schemas.openxmlformats.org/officeDocument/2006/relationships/worksheet" Target="/xl/worksheets/sheet2.xml" Id="R1a6ab87bc5864e32" /><Relationship Type="http://schemas.openxmlformats.org/officeDocument/2006/relationships/worksheet" Target="/xl/worksheets/sheet3.xml" Id="Rc04c1410405d4891" /><Relationship Type="http://schemas.openxmlformats.org/officeDocument/2006/relationships/worksheet" Target="/xl/worksheets/sheet4.xml" Id="Rd4efb3bfc57e4f76" /><Relationship Type="http://schemas.openxmlformats.org/officeDocument/2006/relationships/worksheet" Target="/xl/worksheets/sheet5.xml" Id="R53e8a8fd197c4f4c" /><Relationship Type="http://schemas.openxmlformats.org/officeDocument/2006/relationships/worksheet" Target="/xl/worksheets/sheet6.xml" Id="Rad5c2defb23a4080" /><Relationship Type="http://schemas.openxmlformats.org/officeDocument/2006/relationships/worksheet" Target="/xl/worksheets/sheet7.xml" Id="R44701ae6ef524f8c" /><Relationship Type="http://schemas.openxmlformats.org/officeDocument/2006/relationships/worksheet" Target="/xl/worksheets/sheet8.xml" Id="R3cb76ae124e6481b" /><Relationship Type="http://schemas.openxmlformats.org/officeDocument/2006/relationships/worksheet" Target="/xl/worksheets/sheet9.xml" Id="R501b0d40a6a840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b91be030fa84c3a" /></Relationships>
</file>

<file path=xl/drawings/drawing1.xml><?xml version="1.0" encoding="utf-8"?>
<xdr:wsDr xmlns:xdr="http://schemas.openxmlformats.org/drawingml/2006/spreadsheetDrawing">
  <xdr:oneCellAnchor>
    <xdr:from>
      <xdr:col>3</xdr:col>
      <xdr:colOff>114300</xdr:colOff>
      <xdr:row>1</xdr:row>
      <xdr:rowOff>57150</xdr:rowOff>
    </xdr:from>
    <xdr:ext cx="3429000" cy="130492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91be030fa84c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dff8d4976e4938" /></Relationships>
</file>

<file path=xl/worksheets/sheet1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4" hidden="0" customWidth="1"/>
  </x:cols>
  <x:sheetData>
    <x:row r="1" ht="21" customHeight="1">
      <x:c r="A1" s="355"/>
      <x:c r="B1" s="355"/>
      <x:c r="C1" s="355"/>
      <x:c r="D1" s="355"/>
      <x:c r="E1" s="355"/>
      <x:c r="F1" s="355"/>
      <x:c r="G1" s="355"/>
      <x:c r="H1" s="355"/>
      <x:c r="I1" s="355"/>
      <x:c r="J1" s="355"/>
      <x:c r="K1" s="355"/>
      <x:c r="L1" s="355"/>
    </x:row>
    <x:row r="2" ht="21" customHeight="1">
      <x:c r="A2" s="355"/>
      <x:c r="B2" s="355"/>
      <x:c r="C2" s="355"/>
      <x:c r="D2" s="355"/>
      <x:c r="E2" s="355"/>
      <x:c r="F2" s="355"/>
      <x:c r="G2" s="355"/>
      <x:c r="H2" s="355"/>
      <x:c r="I2" s="355"/>
      <x:c r="J2" s="355"/>
      <x:c r="K2" s="355"/>
      <x:c r="L2" s="355"/>
    </x:row>
    <x:row r="3" ht="21" customHeight="1">
      <x:c r="A3" s="355"/>
      <x:c r="B3" s="355"/>
      <x:c r="C3" s="355"/>
      <x:c r="D3" s="355"/>
      <x:c r="E3" s="355"/>
      <x:c r="F3" s="355"/>
      <x:c r="G3" s="355"/>
      <x:c r="H3" s="355"/>
      <x:c r="I3" s="355"/>
      <x:c r="J3" s="355"/>
      <x:c r="K3" s="355"/>
      <x:c r="L3" s="355"/>
    </x:row>
    <x:row r="4" ht="21" customHeight="1">
      <x:c r="A4" s="355"/>
      <x:c r="B4" s="355"/>
      <x:c r="C4" s="355"/>
      <x:c r="D4" s="355"/>
      <x:c r="E4" s="355"/>
      <x:c r="F4" s="355"/>
      <x:c r="G4" s="355"/>
      <x:c r="H4" s="355"/>
      <x:c r="I4" s="355"/>
      <x:c r="J4" s="355"/>
      <x:c r="K4" s="355"/>
      <x:c r="L4" s="355"/>
    </x:row>
    <x:row r="5" ht="21" customHeight="1">
      <x:c r="A5" s="355"/>
      <x:c r="B5" s="355"/>
      <x:c r="C5" s="355"/>
      <x:c r="D5" s="355"/>
      <x:c r="E5" s="355"/>
      <x:c r="F5" s="355"/>
      <x:c r="G5" s="355"/>
      <x:c r="H5" s="355"/>
      <x:c r="I5" s="355"/>
      <x:c r="J5" s="355"/>
      <x:c r="K5" s="355"/>
      <x:c r="L5" s="355"/>
    </x:row>
    <x:row r="6" ht="21" customHeight="1">
      <x:c r="A6" s="355"/>
      <x:c r="B6" s="355"/>
      <x:c r="C6" s="355"/>
      <x:c r="D6" s="355"/>
      <x:c r="E6" s="355"/>
      <x:c r="F6" s="355"/>
      <x:c r="G6" s="355"/>
      <x:c r="H6" s="355"/>
      <x:c r="I6" s="355"/>
      <x:c r="J6" s="355"/>
      <x:c r="K6" s="355"/>
      <x:c r="L6" s="355"/>
    </x:row>
    <x:row r="7" ht="21" customHeight="1">
      <x:c r="A7" s="355"/>
      <x:c r="B7" s="355"/>
      <x:c r="C7" s="355"/>
      <x:c r="D7" s="355"/>
      <x:c r="E7" s="355"/>
      <x:c r="F7" s="355"/>
      <x:c r="G7" s="355"/>
      <x:c r="H7" s="355"/>
      <x:c r="I7" s="355"/>
      <x:c r="J7" s="355"/>
      <x:c r="K7" s="355"/>
      <x:c r="L7" s="355"/>
    </x:row>
    <x:row r="8" ht="21" customHeight="1">
      <x:c r="A8" s="355"/>
      <x:c r="B8" s="355"/>
      <x:c r="C8" s="355"/>
      <x:c r="D8" s="355"/>
      <x:c r="E8" s="355"/>
      <x:c r="F8" s="355"/>
      <x:c r="G8" s="355"/>
      <x:c r="H8" s="355"/>
      <x:c r="I8" s="355"/>
      <x:c r="J8" s="355"/>
      <x:c r="K8" s="355"/>
      <x:c r="L8" s="355"/>
    </x:row>
    <x:row r="9" ht="21" customHeight="1">
      <x:c r="A9" s="356"/>
      <x:c r="B9" s="356"/>
      <x:c r="C9" s="356"/>
      <x:c r="D9" s="356"/>
      <x:c r="E9" s="356"/>
      <x:c r="F9" s="356"/>
      <x:c r="G9" s="356"/>
      <x:c r="H9" s="356"/>
      <x:c r="I9" s="356"/>
      <x:c r="J9" s="356"/>
      <x:c r="K9" s="356"/>
      <x:c r="L9" s="356"/>
    </x:row>
    <x:row r="10" ht="21" customHeight="1">
      <x:c r="A10" s="352"/>
      <x:c r="B10" s="352"/>
      <x:c r="C10" s="352"/>
      <x:c r="D10" s="352"/>
      <x:c r="E10" s="352"/>
      <x:c r="F10" s="352"/>
      <x:c r="G10" s="352"/>
      <x:c r="H10" s="352"/>
      <x:c r="I10" s="352"/>
      <x:c r="J10" s="352"/>
      <x:c r="K10" s="355"/>
      <x:c r="L10" s="355"/>
    </x:row>
    <x:row r="11" ht="26" customHeight="1">
      <x:c r="A11" s="352"/>
      <x:c r="B11" s="363" t="str">
        <x:v>ADVANCED TEXT &amp; DATE FUNCTIONS</x:v>
      </x:c>
      <x:c r="C11" s="363"/>
      <x:c r="D11" s="363"/>
      <x:c r="E11" s="363"/>
      <x:c r="F11" s="363"/>
      <x:c r="G11" s="363"/>
      <x:c r="H11" s="363"/>
      <x:c r="I11" s="363"/>
      <x:c r="J11" s="363"/>
      <x:c r="K11" s="364"/>
      <x:c r="L11" s="355"/>
    </x:row>
    <x:row r="12" ht="26" customHeight="1">
      <x:c r="A12" s="355"/>
      <x:c r="B12" s="364"/>
      <x:c r="C12" s="364"/>
      <x:c r="D12" s="364"/>
      <x:c r="E12" s="364"/>
      <x:c r="F12" s="364"/>
      <x:c r="G12" s="364"/>
      <x:c r="H12" s="364"/>
      <x:c r="I12" s="364"/>
      <x:c r="J12" s="364"/>
      <x:c r="K12" s="364"/>
      <x:c r="L12" s="355"/>
    </x:row>
    <x:row r="13" ht="26" customHeight="1">
      <x:c r="A13" s="353"/>
      <x:c r="B13" s="365"/>
      <x:c r="C13" s="365"/>
      <x:c r="D13" s="365"/>
      <x:c r="E13" s="365"/>
      <x:c r="F13" s="365"/>
      <x:c r="G13" s="365"/>
      <x:c r="H13" s="365"/>
      <x:c r="I13" s="365"/>
      <x:c r="J13" s="365"/>
      <x:c r="K13" s="364"/>
      <x:c r="L13" s="355"/>
    </x:row>
    <x:row r="14" ht="21" customHeight="1">
      <x:c r="A14" s="353"/>
      <x:c r="B14" s="371" t="str">
        <x:v>تنظيف النصوص وفهم التواريخ وتحويل البيانات الخام إلى حقول جاهزة للتحليل</x:v>
      </x:c>
      <x:c r="C14" s="371"/>
      <x:c r="D14" s="371"/>
      <x:c r="E14" s="371"/>
      <x:c r="F14" s="371"/>
      <x:c r="G14" s="371"/>
      <x:c r="H14" s="371"/>
      <x:c r="I14" s="371"/>
      <x:c r="J14" s="371"/>
      <x:c r="K14" s="371"/>
      <x:c r="L14" s="355"/>
    </x:row>
    <x:row r="15" ht="21" customHeight="1">
      <x:c r="A15" s="353"/>
      <x:c r="B15" s="371"/>
      <x:c r="C15" s="371"/>
      <x:c r="D15" s="371"/>
      <x:c r="E15" s="371"/>
      <x:c r="F15" s="371"/>
      <x:c r="G15" s="371"/>
      <x:c r="H15" s="371"/>
      <x:c r="I15" s="371"/>
      <x:c r="J15" s="371"/>
      <x:c r="K15" s="371"/>
      <x:c r="L15" s="355"/>
    </x:row>
    <x:row r="16" ht="21" customHeight="1">
      <x:c r="A16" s="353"/>
      <x:c r="B16" s="353"/>
      <x:c r="C16" s="353"/>
      <x:c r="D16" s="353"/>
      <x:c r="E16" s="353"/>
      <x:c r="F16" s="353"/>
      <x:c r="G16" s="353"/>
      <x:c r="H16" s="353"/>
      <x:c r="I16" s="353"/>
      <x:c r="J16" s="353"/>
      <x:c r="K16" s="355"/>
      <x:c r="L16" s="355"/>
    </x:row>
    <x:row r="17" ht="26" customHeight="1">
      <x:c r="A17" s="355"/>
      <x:c r="B17" s="375" t="str">
        <x:v>One operational feed. Hidden fields, inconsistent IDs, and dates that can mislead an SLA report.</x:v>
      </x:c>
      <x:c r="C17" s="375"/>
      <x:c r="D17" s="375"/>
      <x:c r="E17" s="375"/>
      <x:c r="F17" s="375"/>
      <x:c r="G17" s="375"/>
      <x:c r="H17" s="375"/>
      <x:c r="I17" s="375"/>
      <x:c r="J17" s="375"/>
      <x:c r="K17" s="375"/>
      <x:c r="L17" s="355"/>
    </x:row>
    <x:row r="18" ht="26" customHeight="1">
      <x:c r="A18" s="353"/>
      <x:c r="B18" s="375"/>
      <x:c r="C18" s="375"/>
      <x:c r="D18" s="375"/>
      <x:c r="E18" s="375"/>
      <x:c r="F18" s="375"/>
      <x:c r="G18" s="375"/>
      <x:c r="H18" s="375"/>
      <x:c r="I18" s="375"/>
      <x:c r="J18" s="375"/>
      <x:c r="K18" s="375"/>
      <x:c r="L18" s="355"/>
    </x:row>
    <x:row r="19" ht="21" customHeight="1">
      <x:c r="A19" s="353"/>
      <x:c r="B19" s="353"/>
      <x:c r="C19" s="353"/>
      <x:c r="D19" s="353"/>
      <x:c r="E19" s="353"/>
      <x:c r="F19" s="353"/>
      <x:c r="G19" s="353"/>
      <x:c r="H19" s="353"/>
      <x:c r="I19" s="353"/>
      <x:c r="J19" s="353"/>
      <x:c r="K19" s="355"/>
      <x:c r="L19" s="355"/>
    </x:row>
    <x:row r="20" ht="21" customHeight="1">
      <x:c r="A20" s="355"/>
      <x:c r="B20" s="378" t="str">
        <x:v>MODULE 03  •  DAY 1  •  ORANGE JORDAN  •  08 SEP 2026</x:v>
      </x:c>
      <x:c r="C20" s="378"/>
      <x:c r="D20" s="378"/>
      <x:c r="E20" s="378"/>
      <x:c r="F20" s="378"/>
      <x:c r="G20" s="378"/>
      <x:c r="H20" s="378"/>
      <x:c r="I20" s="378"/>
      <x:c r="J20" s="378"/>
      <x:c r="K20" s="378"/>
      <x:c r="L20" s="355"/>
    </x:row>
    <x:row r="21" ht="21" customHeight="1">
      <x:c r="A21" s="352"/>
      <x:c r="B21" s="352"/>
      <x:c r="C21" s="352"/>
      <x:c r="D21" s="352"/>
      <x:c r="E21" s="352"/>
      <x:c r="F21" s="352"/>
      <x:c r="G21" s="352"/>
      <x:c r="H21" s="352"/>
      <x:c r="I21" s="352"/>
      <x:c r="J21" s="352"/>
      <x:c r="K21" s="355"/>
      <x:c r="L21" s="355"/>
    </x:row>
    <x:row r="22" ht="21" customHeight="1">
      <x:c r="A22" s="355"/>
      <x:c r="B22" s="355"/>
      <x:c r="C22" s="355"/>
      <x:c r="D22" s="355"/>
      <x:c r="E22" s="355"/>
      <x:c r="F22" s="355"/>
      <x:c r="G22" s="355"/>
      <x:c r="H22" s="355"/>
      <x:c r="I22" s="355"/>
      <x:c r="J22" s="355"/>
      <x:c r="K22" s="355"/>
      <x:c r="L22" s="355"/>
    </x:row>
    <x:row r="23" ht="21" customHeight="1">
      <x:c r="A23" s="355"/>
      <x:c r="B23" s="380" t="str">
        <x:v>BY THE END OF THIS MODULE, YOU CAN:</x:v>
      </x:c>
      <x:c r="C23" s="380"/>
      <x:c r="D23" s="380"/>
      <x:c r="E23" s="380"/>
      <x:c r="F23" s="380"/>
      <x:c r="G23" s="380"/>
      <x:c r="H23" s="380"/>
      <x:c r="I23" s="380"/>
      <x:c r="J23" s="382"/>
      <x:c r="K23" s="382"/>
      <x:c r="L23" s="355"/>
    </x:row>
    <x:row r="24" ht="21" customHeight="1">
      <x:c r="A24" s="355"/>
      <x:c r="B24" s="354"/>
      <x:c r="C24" s="354"/>
      <x:c r="D24" s="354"/>
      <x:c r="E24" s="354"/>
      <x:c r="F24" s="354"/>
      <x:c r="G24" s="354"/>
      <x:c r="H24" s="354"/>
      <x:c r="I24" s="354"/>
      <x:c r="J24" s="355"/>
      <x:c r="K24" s="355"/>
      <x:c r="L24" s="355"/>
    </x:row>
    <x:row r="25" ht="28" customHeight="1">
      <x:c r="A25" s="355"/>
      <x:c r="B25" s="1235" t="str">
        <x:v>01  •  PARSE STRUCTURED TEXT
TEXTBEFORE • TEXTAFTER • TEXTSPLIT
Extract fields without manual Text to Columns.</x:v>
      </x:c>
      <x:c r="C25" s="1243" t="str">
        <x:v>Parse structured text</x:v>
      </x:c>
      <x:c r="D25" s="1243"/>
      <x:c r="E25" s="1244"/>
      <x:c r="F25" s="354"/>
      <x:c r="G25" s="1271" t="str">
        <x:v>02  •  DETECT TYPE PROBLEMS
ISTEXT • ISNONTEXT
Flag IDs that look right but behave differently.</x:v>
      </x:c>
      <x:c r="H25" s="1279" t="str">
        <x:v>Detect data-type problems</x:v>
      </x:c>
      <x:c r="I25" s="1279"/>
      <x:c r="J25" s="1280"/>
      <x:c r="K25" s="355"/>
      <x:c r="L25" s="355"/>
    </x:row>
    <x:row r="26" ht="28" customHeight="1">
      <x:c r="A26" s="355"/>
      <x:c r="B26" s="1238"/>
      <x:c r="C26" s="1245" t="str">
        <x:v>TEXTBEFORE • TEXTAFTER • TEXTSPLIT</x:v>
      </x:c>
      <x:c r="D26" s="1245"/>
      <x:c r="E26" s="1246"/>
      <x:c r="F26" s="354"/>
      <x:c r="G26" s="1274"/>
      <x:c r="H26" s="1281" t="str">
        <x:v>ISTEXT • ISNONTEXT</x:v>
      </x:c>
      <x:c r="I26" s="1281"/>
      <x:c r="J26" s="1282"/>
      <x:c r="K26" s="355"/>
      <x:c r="L26" s="355"/>
    </x:row>
    <x:row r="27" ht="28" customHeight="1">
      <x:c r="A27" s="355"/>
      <x:c r="B27" s="1240"/>
      <x:c r="C27" s="1247" t="str">
        <x:v>Extract fields without manual Text to Columns.</x:v>
      </x:c>
      <x:c r="D27" s="1247"/>
      <x:c r="E27" s="1248"/>
      <x:c r="F27" s="354"/>
      <x:c r="G27" s="1276"/>
      <x:c r="H27" s="1283" t="str">
        <x:v>Flag IDs that look right but behave differently.</x:v>
      </x:c>
      <x:c r="I27" s="1283"/>
      <x:c r="J27" s="1284"/>
      <x:c r="K27" s="355"/>
      <x:c r="L27" s="355"/>
    </x:row>
    <x:row r="28" ht="21" customHeight="1">
      <x:c r="A28" s="355"/>
      <x:c r="B28" s="355"/>
      <x:c r="C28" s="355"/>
      <x:c r="D28" s="355"/>
      <x:c r="E28" s="355"/>
      <x:c r="F28" s="355"/>
      <x:c r="G28" s="355"/>
      <x:c r="H28" s="355"/>
      <x:c r="I28" s="355"/>
      <x:c r="J28" s="355"/>
      <x:c r="K28" s="355"/>
      <x:c r="L28" s="355"/>
    </x:row>
    <x:row r="29" ht="28" customHeight="1">
      <x:c r="A29" s="355"/>
      <x:c r="B29" s="1309" t="str">
        <x:v>03  •  BUILD DATE INTELLIGENCE
YEAR • MONTH • TODAY • NETWORKDAYS
Turn dates into reporting and SLA logic.</x:v>
      </x:c>
      <x:c r="C29" s="1317" t="str">
        <x:v>Build date intelligence</x:v>
      </x:c>
      <x:c r="D29" s="1317"/>
      <x:c r="E29" s="1318"/>
      <x:c r="F29" s="355"/>
      <x:c r="G29" s="1344" t="str">
        <x:v>04  •  COMBINE THE LOGIC
TEXT + QUALITY + DATE
Clean one feed into analysis-ready output.</x:v>
      </x:c>
      <x:c r="H29" s="1352" t="str">
        <x:v>Combine the logic</x:v>
      </x:c>
      <x:c r="I29" s="1352"/>
      <x:c r="J29" s="1353"/>
      <x:c r="K29" s="355"/>
      <x:c r="L29" s="355"/>
    </x:row>
    <x:row r="30" ht="28" customHeight="1">
      <x:c r="A30" s="352"/>
      <x:c r="B30" s="1312"/>
      <x:c r="C30" s="1304" t="str">
        <x:v>YEAR • MONTH • TODAY • NETWORKDAYS</x:v>
      </x:c>
      <x:c r="D30" s="1304"/>
      <x:c r="E30" s="1313"/>
      <x:c r="F30" s="352"/>
      <x:c r="G30" s="1347"/>
      <x:c r="H30" s="1339" t="str">
        <x:v>TEXT + QUALITY + DATE</x:v>
      </x:c>
      <x:c r="I30" s="1339"/>
      <x:c r="J30" s="1348"/>
      <x:c r="K30" s="355"/>
      <x:c r="L30" s="355"/>
    </x:row>
    <x:row r="31" ht="28" customHeight="1">
      <x:c r="A31" s="355"/>
      <x:c r="B31" s="1314"/>
      <x:c r="C31" s="1319" t="str">
        <x:v>Turn raw dates into reporting and SLA logic.</x:v>
      </x:c>
      <x:c r="D31" s="1319"/>
      <x:c r="E31" s="1320"/>
      <x:c r="F31" s="355"/>
      <x:c r="G31" s="1349"/>
      <x:c r="H31" s="1354" t="str">
        <x:v>Clean one feed into analysis-ready output.</x:v>
      </x:c>
      <x:c r="I31" s="1354"/>
      <x:c r="J31" s="1355"/>
      <x:c r="K31" s="355"/>
      <x:c r="L31" s="355"/>
    </x:row>
    <x:row r="32" ht="21" customHeight="1">
      <x:c r="A32" s="355"/>
      <x:c r="B32" s="355"/>
      <x:c r="C32" s="355"/>
      <x:c r="D32" s="355"/>
      <x:c r="E32" s="355"/>
      <x:c r="F32" s="355"/>
      <x:c r="G32" s="355"/>
      <x:c r="H32" s="355"/>
      <x:c r="I32" s="355"/>
      <x:c r="J32" s="355"/>
      <x:c r="K32" s="355"/>
      <x:c r="L32" s="355"/>
    </x:row>
    <x:row r="33" ht="21" customHeight="1">
      <x:c r="A33" s="355"/>
      <x:c r="B33" s="355"/>
      <x:c r="C33" s="355"/>
      <x:c r="D33" s="355"/>
      <x:c r="E33" s="355"/>
      <x:c r="F33" s="355"/>
      <x:c r="G33" s="355"/>
      <x:c r="H33" s="355"/>
      <x:c r="I33" s="355"/>
      <x:c r="J33" s="355"/>
      <x:c r="K33" s="355"/>
      <x:c r="L33" s="355"/>
    </x:row>
    <x:row r="34" ht="21" customHeight="1">
      <x:c r="A34" s="355"/>
      <x:c r="B34" s="462" t="str">
        <x:v>CODERZ ACADEMY  •  ADVANCED EXCEL BUSINESS EXPERIENCE</x:v>
      </x:c>
      <x:c r="C34" s="462"/>
      <x:c r="D34" s="462"/>
      <x:c r="E34" s="462"/>
      <x:c r="F34" s="462"/>
      <x:c r="G34" s="462"/>
      <x:c r="H34" s="462"/>
      <x:c r="I34" s="462"/>
      <x:c r="J34" s="462"/>
      <x:c r="K34" s="462"/>
      <x:c r="L34" s="355"/>
    </x:row>
    <x:row r="35" ht="21" customHeight="1">
      <x:c r="A35" s="355"/>
      <x:c r="B35" s="355"/>
      <x:c r="C35" s="355"/>
      <x:c r="D35" s="355"/>
      <x:c r="E35" s="355"/>
      <x:c r="F35" s="355"/>
      <x:c r="G35" s="355"/>
      <x:c r="H35" s="355"/>
      <x:c r="I35" s="355"/>
      <x:c r="J35" s="355"/>
      <x:c r="K35" s="355"/>
      <x:c r="L35" s="355"/>
    </x:row>
    <x:row r="36" ht="21" customHeight="1">
      <x:c r="A36" s="355"/>
      <x:c r="B36" s="355"/>
      <x:c r="C36" s="355"/>
      <x:c r="D36" s="355"/>
      <x:c r="E36" s="355"/>
      <x:c r="F36" s="355"/>
      <x:c r="G36" s="355"/>
      <x:c r="H36" s="355"/>
      <x:c r="I36" s="355"/>
      <x:c r="J36" s="355"/>
      <x:c r="K36" s="355"/>
      <x:c r="L36" s="355"/>
    </x:row>
  </x:sheetData>
  <x:mergeCells>
    <x:mergeCell ref="B11:K13"/>
    <x:mergeCell ref="B14:K15"/>
    <x:mergeCell ref="B17:K18"/>
    <x:mergeCell ref="B20:K20"/>
    <x:mergeCell ref="B23:K23"/>
    <x:mergeCell ref="B34:K34"/>
    <x:mergeCell ref="B25:E27"/>
    <x:mergeCell ref="G25:J27"/>
    <x:mergeCell ref="B29:E31"/>
    <x:mergeCell ref="G29:J31"/>
  </x:mergeCells>
  <x:pageMargins left="0.7" right="0.7" top="0.75" bottom="0.75" header="0.3" footer="0.3"/>
  <x:drawing xmlns:r="http://schemas.openxmlformats.org/officeDocument/2006/relationships" r:id="R32dff8d4976e4938"/>
</x:worksheet>
</file>

<file path=xl/worksheets/sheet2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10" hidden="0" customWidth="1"/>
    <x:col min="3" max="3" width="24" hidden="0" customWidth="1"/>
    <x:col min="4" max="4" width="18" hidden="0" customWidth="1"/>
    <x:col min="5" max="5" width="44" hidden="0" customWidth="1"/>
    <x:col min="6" max="6" width="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</x:cols>
  <x:sheetData>
    <x:row r="1">
      <x:c r="A1" s="498" t="str">
        <x:v>MODULE 03 ROADMAP</x:v>
      </x:c>
      <x:c r="B1" s="498"/>
      <x:c r="C1" s="498"/>
      <x:c r="D1" s="498"/>
      <x:c r="E1" s="498"/>
      <x:c r="F1" s="498"/>
      <x:c r="G1" s="498"/>
      <x:c r="H1" s="498"/>
      <x:c r="I1" s="498"/>
      <x:c r="J1" s="498"/>
    </x:row>
    <x:row r="2">
      <x:c r="A2" s="498"/>
      <x:c r="B2" s="498"/>
      <x:c r="C2" s="498"/>
      <x:c r="D2" s="498"/>
      <x:c r="E2" s="498"/>
      <x:c r="F2" s="498"/>
      <x:c r="G2" s="498"/>
      <x:c r="H2" s="498"/>
      <x:c r="I2" s="498"/>
      <x:c r="J2" s="498"/>
    </x:row>
    <x:row r="3">
      <x:c r="A3" s="371" t="str">
        <x:v>من بيانات خام إلى ملف جاهز للتحليل</x:v>
      </x:c>
      <x:c r="B3" s="371"/>
      <x:c r="C3" s="371"/>
      <x:c r="D3" s="371"/>
      <x:c r="E3" s="371"/>
      <x:c r="F3" s="371"/>
      <x:c r="G3" s="371"/>
      <x:c r="H3" s="371"/>
      <x:c r="I3" s="371"/>
      <x:c r="J3" s="371"/>
    </x:row>
    <x:row r="4" ht="6" customHeight="1">
      <x:c r="A4" s="355"/>
      <x:c r="B4" s="355"/>
      <x:c r="C4" s="355"/>
      <x:c r="D4" s="355"/>
      <x:c r="E4" s="355"/>
      <x:c r="F4" s="355"/>
      <x:c r="G4" s="355"/>
      <x:c r="H4" s="355"/>
      <x:c r="I4" s="355"/>
      <x:c r="J4" s="355"/>
    </x:row>
    <x:row r="5">
      <x:c r="A5" s="514" t="str">
        <x:v>YOUR MISSION  •  Follow the business sequence. Open the source feed only when a practice sheet asks you to.</x:v>
      </x:c>
      <x:c r="B5" s="515"/>
      <x:c r="C5" s="515"/>
      <x:c r="D5" s="515"/>
      <x:c r="E5" s="515"/>
      <x:c r="F5" s="515"/>
      <x:c r="G5" s="515"/>
      <x:c r="H5" s="515"/>
      <x:c r="I5" s="515"/>
      <x:c r="J5" s="515"/>
    </x:row>
    <x:row r="6">
      <x:c r="A6" s="516"/>
      <x:c r="B6" s="517"/>
      <x:c r="C6" s="517"/>
      <x:c r="D6" s="518"/>
      <x:c r="E6" s="515"/>
      <x:c r="F6" s="515"/>
      <x:c r="G6" s="515"/>
      <x:c r="H6" s="515"/>
      <x:c r="I6" s="515"/>
      <x:c r="J6" s="515"/>
    </x:row>
    <x:row r="7">
      <x:c r="A7" s="546" t="str">
        <x:v>المطلوب منك  •  امشِ مع تسلسل الحالة العملية، وافتح بيانات المصدر فقط عندما يطلب منك التمرين.</x:v>
      </x:c>
      <x:c r="B7" s="547"/>
      <x:c r="C7" s="547"/>
      <x:c r="D7" s="548"/>
      <x:c r="E7" s="547"/>
      <x:c r="F7" s="547"/>
      <x:c r="G7" s="547"/>
      <x:c r="H7" s="547"/>
      <x:c r="I7" s="547"/>
      <x:c r="J7" s="549"/>
    </x:row>
    <x:row r="8">
      <x:c r="A8" s="550"/>
      <x:c r="B8" s="551"/>
      <x:c r="C8" s="551"/>
      <x:c r="D8" s="552"/>
      <x:c r="E8" s="551"/>
      <x:c r="F8" s="551"/>
      <x:c r="G8" s="551"/>
      <x:c r="H8" s="551"/>
      <x:c r="I8" s="551"/>
      <x:c r="J8" s="553"/>
    </x:row>
    <x:row r="9">
      <x:c r="A9" s="488"/>
      <x:c r="B9" s="489"/>
      <x:c r="C9" s="490"/>
      <x:c r="D9" s="491"/>
      <x:c r="E9" s="355"/>
      <x:c r="F9" s="355"/>
      <x:c r="G9" s="355"/>
      <x:c r="H9" s="355"/>
      <x:c r="I9" s="355"/>
      <x:c r="J9" s="355"/>
    </x:row>
    <x:row r="10" ht="32" customHeight="1">
      <x:c r="A10" s="569" t="str">
        <x:v>#</x:v>
      </x:c>
      <x:c r="B10" s="570" t="str">
        <x:v>STAGE</x:v>
      </x:c>
      <x:c r="C10" s="570" t="str">
        <x:v>SHEET</x:v>
      </x:c>
      <x:c r="D10" s="571" t="str">
        <x:v>WHAT YOU WILL DO</x:v>
      </x:c>
      <x:c r="E10" s="572" t="str">
        <x:v>BUSINESS VALUE</x:v>
      </x:c>
      <x:c r="F10" s="355"/>
      <x:c r="G10" s="355"/>
      <x:c r="H10" s="355"/>
      <x:c r="I10" s="355"/>
      <x:c r="J10" s="355"/>
    </x:row>
    <x:row r="11" ht="32" customHeight="1">
      <x:c r="A11" s="630" t="n">
        <x:v>1</x:v>
      </x:c>
      <x:c r="B11" s="614" t="str">
        <x:v>THE FEED</x:v>
      </x:c>
      <x:c r="C11" s="584" t="str">
        <x:v>02_RAW_DATA</x:v>
      </x:c>
      <x:c r="D11" s="585" t="str">
        <x:v>Inspect a semi-structured service-order feed</x:v>
      </x:c>
      <x:c r="E11" s="597" t="str">
        <x:v>See the cleaning problem before touching a formula</x:v>
      </x:c>
      <x:c r="F11" s="355"/>
      <x:c r="G11" s="355"/>
      <x:c r="H11" s="355"/>
      <x:c r="I11" s="355"/>
      <x:c r="J11" s="355"/>
    </x:row>
    <x:row r="12" ht="32" customHeight="1">
      <x:c r="A12" s="631" t="n">
        <x:v>2</x:v>
      </x:c>
      <x:c r="B12" s="615" t="str">
        <x:v>PARSE</x:v>
      </x:c>
      <x:c r="C12" s="589" t="str">
        <x:v>03_TEXT_LAB</x:v>
      </x:c>
      <x:c r="D12" s="576" t="str">
        <x:v>Extract Region, Service, Customer ID and Order Type</x:v>
      </x:c>
      <x:c r="E12" s="598" t="str">
        <x:v>Turn one text field into usable dimensions</x:v>
      </x:c>
      <x:c r="F12" s="355"/>
      <x:c r="G12" s="355"/>
      <x:c r="H12" s="355"/>
      <x:c r="I12" s="355"/>
      <x:c r="J12" s="355"/>
    </x:row>
    <x:row r="13" ht="32" customHeight="1">
      <x:c r="A13" s="632" t="n">
        <x:v>3</x:v>
      </x:c>
      <x:c r="B13" s="616" t="str">
        <x:v>VALIDATE</x:v>
      </x:c>
      <x:c r="C13" s="580" t="str">
        <x:v>04_QUALITY_CHECKS</x:v>
      </x:c>
      <x:c r="D13" s="581" t="str">
        <x:v>Detect mixed Account Reference data types</x:v>
      </x:c>
      <x:c r="E13" s="598" t="str">
        <x:v>Stop hidden type problems before analysis</x:v>
      </x:c>
      <x:c r="F13" s="355"/>
      <x:c r="G13" s="355"/>
      <x:c r="H13" s="355"/>
      <x:c r="I13" s="355"/>
      <x:c r="J13" s="355"/>
    </x:row>
    <x:row r="14" ht="32" customHeight="1">
      <x:c r="A14" s="631" t="n">
        <x:v>4</x:v>
      </x:c>
      <x:c r="B14" s="615" t="str">
        <x:v>DATE INTELLIGENCE</x:v>
      </x:c>
      <x:c r="C14" s="600" t="str">
        <x:v>05_DATE_LAB</x:v>
      </x:c>
      <x:c r="D14" s="600" t="str">
        <x:v>Build Year, Month, business-day duration and SLA status</x:v>
      </x:c>
      <x:c r="E14" s="598" t="str">
        <x:v>Convert dates into operational insight</x:v>
      </x:c>
      <x:c r="F14" s="355"/>
      <x:c r="G14" s="355"/>
      <x:c r="H14" s="355"/>
      <x:c r="I14" s="355"/>
      <x:c r="J14" s="355"/>
    </x:row>
    <x:row r="15" ht="32" customHeight="1">
      <x:c r="A15" s="633" t="n">
        <x:v>5</x:v>
      </x:c>
      <x:c r="B15" s="617" t="str">
        <x:v>FINAL CASE</x:v>
      </x:c>
      <x:c r="C15" s="602" t="str">
        <x:v>06_COMBINED_CASE</x:v>
      </x:c>
      <x:c r="D15" s="602" t="str">
        <x:v>Clean and enrich the feed as one business task</x:v>
      </x:c>
      <x:c r="E15" s="603" t="str">
        <x:v>Prove the whole workflow under time pressure</x:v>
      </x:c>
      <x:c r="F15" s="355"/>
      <x:c r="G15" s="355"/>
      <x:c r="H15" s="355"/>
      <x:c r="I15" s="355"/>
      <x:c r="J15" s="355"/>
    </x:row>
    <x:row r="16">
      <x:c r="A16" s="355"/>
      <x:c r="B16" s="355"/>
      <x:c r="C16" s="355"/>
      <x:c r="D16" s="355"/>
      <x:c r="E16" s="355"/>
      <x:c r="F16" s="355"/>
      <x:c r="G16" s="355"/>
      <x:c r="H16" s="355"/>
      <x:c r="I16" s="355"/>
      <x:c r="J16" s="355"/>
    </x:row>
    <x:row r="17">
      <x:c r="A17" s="355"/>
      <x:c r="B17" s="355"/>
      <x:c r="C17" s="355"/>
      <x:c r="D17" s="355"/>
      <x:c r="E17" s="355"/>
      <x:c r="F17" s="355"/>
      <x:c r="G17" s="355"/>
      <x:c r="H17" s="355"/>
      <x:c r="I17" s="355"/>
      <x:c r="J17" s="355"/>
    </x:row>
    <x:row r="18">
      <x:c r="A18" s="635" t="str">
        <x:v>REFERENCE  •  07_ANSWER_KEY  |  08_TRAINER_FLOW</x:v>
      </x:c>
      <x:c r="B18" s="635"/>
      <x:c r="C18" s="635"/>
      <x:c r="D18" s="635"/>
      <x:c r="E18" s="635"/>
      <x:c r="F18" s="355"/>
      <x:c r="G18" s="355"/>
      <x:c r="H18" s="355"/>
      <x:c r="I18" s="355"/>
      <x:c r="J18" s="355"/>
    </x:row>
    <x:row r="19">
      <x:c r="A19" s="355"/>
      <x:c r="B19" s="355"/>
      <x:c r="C19" s="355"/>
      <x:c r="D19" s="355"/>
      <x:c r="E19" s="355"/>
      <x:c r="F19" s="355"/>
      <x:c r="G19" s="355"/>
      <x:c r="H19" s="355"/>
      <x:c r="I19" s="355"/>
      <x:c r="J19" s="355"/>
    </x:row>
    <x:row r="20">
      <x:c r="A20" s="355"/>
      <x:c r="B20" s="355"/>
      <x:c r="C20" s="355"/>
      <x:c r="D20" s="355"/>
      <x:c r="E20" s="355"/>
      <x:c r="F20" s="355"/>
      <x:c r="G20" s="355"/>
      <x:c r="H20" s="355"/>
      <x:c r="I20" s="355"/>
      <x:c r="J20" s="355"/>
    </x:row>
    <x:row r="21">
      <x:c r="A21" s="641" t="str">
        <x:v>WORKING RULE  •  The source feed is intentionally imperfect. Do not “fix” the raw data manually — solve the business problem with formulas.</x:v>
      </x:c>
      <x:c r="B21" s="642"/>
      <x:c r="C21" s="642"/>
      <x:c r="D21" s="642"/>
      <x:c r="E21" s="642"/>
      <x:c r="F21" s="355"/>
      <x:c r="G21" s="355"/>
      <x:c r="H21" s="355"/>
      <x:c r="I21" s="355"/>
      <x:c r="J21" s="355"/>
    </x:row>
    <x:row r="22">
      <x:c r="A22" s="641"/>
      <x:c r="B22" s="642"/>
      <x:c r="C22" s="642"/>
      <x:c r="D22" s="642"/>
      <x:c r="E22" s="642"/>
      <x:c r="F22" s="355"/>
      <x:c r="G22" s="355"/>
      <x:c r="H22" s="355"/>
      <x:c r="I22" s="355"/>
      <x:c r="J22" s="355"/>
    </x:row>
    <x:row r="23">
      <x:c r="A23" s="555" t="str">
        <x:v>قاعدة العمل  •  بيانات المصدر فيها مشاكل مقصودة. لا تصلحها يدوياً؛ خلّي المعادلات تكشف المشكلة وتعالج المطلوب.</x:v>
      </x:c>
      <x:c r="B23" s="555"/>
      <x:c r="C23" s="555"/>
      <x:c r="D23" s="555"/>
      <x:c r="E23" s="555"/>
      <x:c r="F23" s="355"/>
      <x:c r="G23" s="355"/>
      <x:c r="H23" s="355"/>
      <x:c r="I23" s="355"/>
      <x:c r="J23" s="355"/>
    </x:row>
    <x:row r="24">
      <x:c r="A24" s="555"/>
      <x:c r="B24" s="555"/>
      <x:c r="C24" s="555"/>
      <x:c r="D24" s="555"/>
      <x:c r="E24" s="555"/>
      <x:c r="F24" s="355"/>
      <x:c r="G24" s="355"/>
      <x:c r="H24" s="355"/>
      <x:c r="I24" s="355"/>
      <x:c r="J24" s="355"/>
    </x:row>
    <x:row r="25">
      <x:c r="A25" s="355"/>
      <x:c r="B25" s="355"/>
      <x:c r="C25" s="355"/>
      <x:c r="D25" s="355"/>
      <x:c r="E25" s="355"/>
      <x:c r="F25" s="355"/>
      <x:c r="G25" s="355"/>
      <x:c r="H25" s="355"/>
      <x:c r="I25" s="355"/>
      <x:c r="J25" s="355"/>
    </x:row>
    <x:row r="26">
      <x:c r="A26" s="355"/>
      <x:c r="B26" s="355"/>
      <x:c r="C26" s="355"/>
      <x:c r="D26" s="355"/>
      <x:c r="E26" s="355"/>
      <x:c r="F26" s="355"/>
      <x:c r="G26" s="355"/>
      <x:c r="H26" s="355"/>
      <x:c r="I26" s="355"/>
      <x:c r="J26" s="355"/>
    </x:row>
    <x:row r="27">
      <x:c r="A27" s="355"/>
      <x:c r="B27" s="355"/>
      <x:c r="C27" s="355"/>
      <x:c r="D27" s="355"/>
      <x:c r="E27" s="355"/>
      <x:c r="F27" s="355"/>
      <x:c r="G27" s="355"/>
      <x:c r="H27" s="355"/>
      <x:c r="I27" s="355"/>
      <x:c r="J27" s="355"/>
    </x:row>
    <x:row r="28">
      <x:c r="A28" s="355"/>
      <x:c r="B28" s="355"/>
      <x:c r="C28" s="355"/>
      <x:c r="D28" s="355"/>
      <x:c r="E28" s="355"/>
      <x:c r="F28" s="355"/>
      <x:c r="G28" s="355"/>
      <x:c r="H28" s="355"/>
      <x:c r="I28" s="355"/>
      <x:c r="J28" s="355"/>
    </x:row>
  </x:sheetData>
  <x:mergeCells>
    <x:mergeCell ref="A1:J2"/>
    <x:mergeCell ref="A3:J3"/>
    <x:mergeCell ref="A5:J6"/>
    <x:mergeCell ref="A7:J8"/>
    <x:mergeCell ref="A18:E18"/>
    <x:mergeCell ref="A21:E22"/>
    <x:mergeCell ref="A23:E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22" hidden="0" customWidth="1"/>
    <x:col min="4" max="4" width="15" hidden="0" customWidth="1"/>
    <x:col min="5" max="5" width="15" hidden="0" customWidth="1"/>
    <x:col min="6" max="6" width="15" hidden="0" customWidth="1"/>
    <x:col min="7" max="7" width="12" hidden="0" customWidth="1"/>
  </x:cols>
  <x:sheetData>
    <x:row r="1">
      <x:c r="A1" s="666" t="str">
        <x:v>BUSINESS CASE 01  •  THE MESSY SERVICE-ORDER FEED</x:v>
      </x:c>
      <x:c r="B1" s="666"/>
      <x:c r="C1" s="666"/>
      <x:c r="D1" s="666"/>
      <x:c r="E1" s="666"/>
      <x:c r="F1" s="666"/>
      <x:c r="G1" s="666"/>
    </x:row>
    <x:row r="2">
      <x:c r="A2" s="666"/>
      <x:c r="B2" s="666"/>
      <x:c r="C2" s="666"/>
      <x:c r="D2" s="666"/>
      <x:c r="E2" s="666"/>
      <x:c r="F2" s="666"/>
      <x:c r="G2" s="666"/>
    </x:row>
    <x:row r="3">
      <x:c r="A3" s="371" t="str">
        <x:v>ملف واحد... لكن داخله حقول مخفية، أنواع بيانات غير متناسقة، وتواريخ تحتاج تفسير</x:v>
      </x:c>
      <x:c r="B3" s="371"/>
      <x:c r="C3" s="371"/>
      <x:c r="D3" s="371"/>
      <x:c r="E3" s="371"/>
      <x:c r="F3" s="371"/>
      <x:c r="G3" s="371"/>
    </x:row>
    <x:row r="4" ht="6" customHeight="1">
      <x:c r="A4" s="355"/>
      <x:c r="B4" s="355"/>
      <x:c r="C4" s="355"/>
      <x:c r="D4" s="355"/>
      <x:c r="E4" s="355"/>
      <x:c r="F4" s="355"/>
      <x:c r="G4" s="355"/>
    </x:row>
    <x:row r="5">
      <x:c r="A5" s="514" t="str">
        <x:v>YOUR MISSION  •  Inspect the feed. Identify what makes it hard to analyze. Do not edit the source data.</x:v>
      </x:c>
      <x:c r="B5" s="515"/>
      <x:c r="C5" s="515"/>
      <x:c r="D5" s="515"/>
      <x:c r="E5" s="515"/>
      <x:c r="F5" s="515"/>
      <x:c r="G5" s="515"/>
    </x:row>
    <x:row r="6">
      <x:c r="A6" s="516"/>
      <x:c r="B6" s="517"/>
      <x:c r="C6" s="517"/>
      <x:c r="D6" s="517"/>
      <x:c r="E6" s="517"/>
      <x:c r="F6" s="517"/>
      <x:c r="G6" s="518"/>
    </x:row>
    <x:row r="7">
      <x:c r="A7" s="546" t="str">
        <x:v>المطلوب منك  •  راقب البيانات وحدد أين المشكلة. لا تعدّل بيانات المصدر.</x:v>
      </x:c>
      <x:c r="B7" s="547"/>
      <x:c r="C7" s="547"/>
      <x:c r="D7" s="691"/>
      <x:c r="E7" s="691"/>
      <x:c r="F7" s="691"/>
      <x:c r="G7" s="549"/>
    </x:row>
    <x:row r="8">
      <x:c r="A8" s="550"/>
      <x:c r="B8" s="551"/>
      <x:c r="C8" s="551"/>
      <x:c r="D8" s="692"/>
      <x:c r="E8" s="692"/>
      <x:c r="F8" s="692"/>
      <x:c r="G8" s="553"/>
    </x:row>
    <x:row r="9">
      <x:c r="A9" s="659"/>
      <x:c r="B9" s="354"/>
      <x:c r="C9" s="354"/>
      <x:c r="D9" s="660"/>
      <x:c r="E9" s="660"/>
      <x:c r="F9" s="660"/>
      <x:c r="G9" s="661"/>
    </x:row>
    <x:row r="10">
      <x:c r="A10" s="707" t="str">
        <x:v>THE BUSINESS PAIN  •  Region + Service + Customer ID + Order Type are trapped inside one Composite Key. Some Account References are numbers. SLA decisions depend on dates.</x:v>
      </x:c>
      <x:c r="B10" s="373"/>
      <x:c r="C10" s="373"/>
      <x:c r="D10" s="708"/>
      <x:c r="E10" s="708"/>
      <x:c r="F10" s="708"/>
      <x:c r="G10" s="709"/>
    </x:row>
    <x:row r="11">
      <x:c r="A11" s="550" t="str">
        <x:v>السؤال: لو المدير طلب Report حسب Region وService وحالة SLA... هل هذا الملف جاهز للتحليل كما هو؟</x:v>
      </x:c>
      <x:c r="B11" s="555"/>
      <x:c r="C11" s="555"/>
      <x:c r="D11" s="694"/>
      <x:c r="E11" s="694"/>
      <x:c r="F11" s="694"/>
      <x:c r="G11" s="552"/>
    </x:row>
    <x:row r="12">
      <x:c r="A12" s="659"/>
      <x:c r="B12" s="354"/>
      <x:c r="C12" s="354"/>
      <x:c r="D12" s="660"/>
      <x:c r="E12" s="660"/>
      <x:c r="F12" s="660"/>
      <x:c r="G12" s="661"/>
    </x:row>
    <x:row r="13" ht="20" customHeight="1">
      <x:c r="A13" s="569" t="str">
        <x:v>Order ID</x:v>
      </x:c>
      <x:c r="B13" s="570" t="str">
        <x:v>Composite Key</x:v>
      </x:c>
      <x:c r="C13" s="570" t="str">
        <x:v>Account Reference</x:v>
      </x:c>
      <x:c r="D13" s="724" t="str">
        <x:v>Start Date</x:v>
      </x:c>
      <x:c r="E13" s="724" t="str">
        <x:v>Due Date</x:v>
      </x:c>
      <x:c r="F13" s="724" t="str">
        <x:v>Close Date</x:v>
      </x:c>
      <x:c r="G13" s="572" t="str">
        <x:v>Priority</x:v>
      </x:c>
    </x:row>
    <x:row r="14" ht="20" customHeight="1">
      <x:c r="A14" s="582" t="str">
        <x:v>ORD-0001</x:v>
      </x:c>
      <x:c r="B14" s="583" t="str">
        <x:v>Balqa|Fiber|C30001|UPG</x:v>
      </x:c>
      <x:c r="C14" s="583" t="str">
        <x:v>ACC-77017</x:v>
      </x:c>
      <x:c r="D14" s="743" t="n">
        <x:v>46044</x:v>
      </x:c>
      <x:c r="E14" s="743" t="n">
        <x:v>46049</x:v>
      </x:c>
      <x:c r="F14" s="743" t="n">
        <x:v>46048</x:v>
      </x:c>
      <x:c r="G14" s="744" t="str">
        <x:v>P1</x:v>
      </x:c>
    </x:row>
    <x:row r="15" ht="20" customHeight="1">
      <x:c r="A15" s="587" t="str">
        <x:v>ORD-0002</x:v>
      </x:c>
      <x:c r="B15" s="588" t="str">
        <x:v>Irbid|5G Home|C30002|MIG</x:v>
      </x:c>
      <x:c r="C15" s="588" t="str">
        <x:v>ACC-50654</x:v>
      </x:c>
      <x:c r="D15" s="745" t="n">
        <x:v>46173</x:v>
      </x:c>
      <x:c r="E15" s="745" t="n">
        <x:v>46184</x:v>
      </x:c>
      <x:c r="F15" s="745" t="n">
        <x:v>46183</x:v>
      </x:c>
      <x:c r="G15" s="746" t="str">
        <x:v>P3</x:v>
      </x:c>
    </x:row>
    <x:row r="16" ht="20" customHeight="1">
      <x:c r="A16" s="587" t="str">
        <x:v>ORD-0003</x:v>
      </x:c>
      <x:c r="B16" s="588" t="str">
        <x:v>Aqaba|Fiber|C30003|ACT</x:v>
      </x:c>
      <x:c r="C16" s="588" t="str">
        <x:v>ACC-25202</x:v>
      </x:c>
      <x:c r="D16" s="745" t="n">
        <x:v>46085</x:v>
      </x:c>
      <x:c r="E16" s="745" t="n">
        <x:v>46087</x:v>
      </x:c>
      <x:c r="F16" s="745" t="n">
        <x:v>46091</x:v>
      </x:c>
      <x:c r="G16" s="746" t="str">
        <x:v>P2</x:v>
      </x:c>
    </x:row>
    <x:row r="17" ht="20" customHeight="1">
      <x:c r="A17" s="587" t="str">
        <x:v>ORD-0004</x:v>
      </x:c>
      <x:c r="B17" s="588" t="str">
        <x:v>Balqa|Mobile|C30004|UPG</x:v>
      </x:c>
      <x:c r="C17" s="588" t="str">
        <x:v>ACC-25655</x:v>
      </x:c>
      <x:c r="D17" s="745" t="n">
        <x:v>46193</x:v>
      </x:c>
      <x:c r="E17" s="745" t="n">
        <x:v>46205</x:v>
      </x:c>
      <x:c r="F17" s="745" t="n">
        <x:v>46205</x:v>
      </x:c>
      <x:c r="G17" s="746" t="str">
        <x:v>P1</x:v>
      </x:c>
    </x:row>
    <x:row r="18" ht="20" customHeight="1">
      <x:c r="A18" s="587" t="str">
        <x:v>ORD-0005</x:v>
      </x:c>
      <x:c r="B18" s="588" t="str">
        <x:v>Irbid|Mobile|C30005|REN</x:v>
      </x:c>
      <x:c r="C18" s="588" t="str">
        <x:v>ACC-31884</x:v>
      </x:c>
      <x:c r="D18" s="745" t="n">
        <x:v>46150</x:v>
      </x:c>
      <x:c r="E18" s="745" t="n">
        <x:v>46156</x:v>
      </x:c>
      <x:c r="F18" s="745" t="n">
        <x:v>46158</x:v>
      </x:c>
      <x:c r="G18" s="746" t="str">
        <x:v>P2</x:v>
      </x:c>
    </x:row>
    <x:row r="19" ht="20" customHeight="1">
      <x:c r="A19" s="587" t="str">
        <x:v>ORD-0006</x:v>
      </x:c>
      <x:c r="B19" s="588" t="str">
        <x:v>Irbid|5G Home|C30006|ACT</x:v>
      </x:c>
      <x:c r="C19" s="588" t="n">
        <x:v>66272</x:v>
      </x:c>
      <x:c r="D19" s="745" t="n">
        <x:v>46220</x:v>
      </x:c>
      <x:c r="E19" s="745" t="n">
        <x:v>46221</x:v>
      </x:c>
      <x:c r="F19" s="745" t="n">
        <x:v>46224</x:v>
      </x:c>
      <x:c r="G19" s="746" t="str">
        <x:v>P2</x:v>
      </x:c>
    </x:row>
    <x:row r="20" ht="20" customHeight="1">
      <x:c r="A20" s="587" t="str">
        <x:v>ORD-0007</x:v>
      </x:c>
      <x:c r="B20" s="588" t="str">
        <x:v>Balqa|Mobile|C30007|UPG</x:v>
      </x:c>
      <x:c r="C20" s="588" t="str">
        <x:v>ACC-75031</x:v>
      </x:c>
      <x:c r="D20" s="745" t="n">
        <x:v>46205</x:v>
      </x:c>
      <x:c r="E20" s="745" t="n">
        <x:v>46215</x:v>
      </x:c>
      <x:c r="F20" s="745" t="n">
        <x:v>46214</x:v>
      </x:c>
      <x:c r="G20" s="746" t="str">
        <x:v>P2</x:v>
      </x:c>
    </x:row>
    <x:row r="21" ht="20" customHeight="1">
      <x:c r="A21" s="587" t="str">
        <x:v>ORD-0008</x:v>
      </x:c>
      <x:c r="B21" s="588" t="str">
        <x:v>Balqa|5G Home|C30008|ACT</x:v>
      </x:c>
      <x:c r="C21" s="588" t="str">
        <x:v>ACC-58193</x:v>
      </x:c>
      <x:c r="D21" s="745" t="n">
        <x:v>46150</x:v>
      </x:c>
      <x:c r="E21" s="745" t="n">
        <x:v>46160</x:v>
      </x:c>
      <x:c r="F21" s="745" t="n">
        <x:v>46160</x:v>
      </x:c>
      <x:c r="G21" s="746" t="str">
        <x:v>P1</x:v>
      </x:c>
    </x:row>
    <x:row r="22" ht="20" customHeight="1">
      <x:c r="A22" s="587" t="str">
        <x:v>ORD-0009</x:v>
      </x:c>
      <x:c r="B22" s="588" t="str">
        <x:v>Zarqa|Mobile|C30009|ACT</x:v>
      </x:c>
      <x:c r="C22" s="588" t="str">
        <x:v>ACC-15772</x:v>
      </x:c>
      <x:c r="D22" s="745" t="n">
        <x:v>46081</x:v>
      </x:c>
      <x:c r="E22" s="745" t="n">
        <x:v>46093</x:v>
      </x:c>
      <x:c r="F22" s="745" t="n">
        <x:v>46091</x:v>
      </x:c>
      <x:c r="G22" s="746" t="str">
        <x:v>P1</x:v>
      </x:c>
    </x:row>
    <x:row r="23" ht="20" customHeight="1">
      <x:c r="A23" s="587" t="str">
        <x:v>ORD-0010</x:v>
      </x:c>
      <x:c r="B23" s="588" t="str">
        <x:v>Irbid|Mobile|C30010|MIG</x:v>
      </x:c>
      <x:c r="C23" s="588" t="str">
        <x:v>ACC-33456</x:v>
      </x:c>
      <x:c r="D23" s="745" t="n">
        <x:v>46116</x:v>
      </x:c>
      <x:c r="E23" s="745" t="n">
        <x:v>46123</x:v>
      </x:c>
      <x:c r="F23" s="745" t="n">
        <x:v>46123</x:v>
      </x:c>
      <x:c r="G23" s="746" t="str">
        <x:v>P1</x:v>
      </x:c>
    </x:row>
    <x:row r="24" ht="20" customHeight="1">
      <x:c r="A24" s="587" t="str">
        <x:v>ORD-0011</x:v>
      </x:c>
      <x:c r="B24" s="588" t="str">
        <x:v>Balqa|Enterprise Data|C30011|REN</x:v>
      </x:c>
      <x:c r="C24" s="588" t="str">
        <x:v>ACC-51934</x:v>
      </x:c>
      <x:c r="D24" s="745" t="n">
        <x:v>46105</x:v>
      </x:c>
      <x:c r="E24" s="745" t="n">
        <x:v>46109</x:v>
      </x:c>
      <x:c r="F24" s="745" t="n">
        <x:v>46113</x:v>
      </x:c>
      <x:c r="G24" s="746" t="str">
        <x:v>P2</x:v>
      </x:c>
    </x:row>
    <x:row r="25" ht="20" customHeight="1">
      <x:c r="A25" s="587" t="str">
        <x:v>ORD-0012</x:v>
      </x:c>
      <x:c r="B25" s="588" t="str">
        <x:v>Amman|5G Home|C30012|ACT</x:v>
      </x:c>
      <x:c r="C25" s="588" t="n">
        <x:v>33507</x:v>
      </x:c>
      <x:c r="D25" s="745" t="n">
        <x:v>46151</x:v>
      </x:c>
      <x:c r="E25" s="745" t="n">
        <x:v>46162</x:v>
      </x:c>
      <x:c r="F25" s="745" t="n">
        <x:v>46160</x:v>
      </x:c>
      <x:c r="G25" s="746" t="str">
        <x:v>P1</x:v>
      </x:c>
    </x:row>
    <x:row r="26" ht="20" customHeight="1">
      <x:c r="A26" s="587" t="str">
        <x:v>ORD-0013</x:v>
      </x:c>
      <x:c r="B26" s="588" t="str">
        <x:v>Balqa|Mobile|C30013|MIG</x:v>
      </x:c>
      <x:c r="C26" s="588" t="str">
        <x:v>ACC-50723</x:v>
      </x:c>
      <x:c r="D26" s="745" t="n">
        <x:v>46040</x:v>
      </x:c>
      <x:c r="E26" s="745" t="n">
        <x:v>46048</x:v>
      </x:c>
      <x:c r="F26" s="745" t="n">
        <x:v>46050</x:v>
      </x:c>
      <x:c r="G26" s="746" t="str">
        <x:v>P2</x:v>
      </x:c>
    </x:row>
    <x:row r="27" ht="20" customHeight="1">
      <x:c r="A27" s="587" t="str">
        <x:v>ORD-0014</x:v>
      </x:c>
      <x:c r="B27" s="588" t="str">
        <x:v>Amman|Enterprise Data|C30014|ACT</x:v>
      </x:c>
      <x:c r="C27" s="588" t="str">
        <x:v>ACC-83899</x:v>
      </x:c>
      <x:c r="D27" s="745" t="n">
        <x:v>46117</x:v>
      </x:c>
      <x:c r="E27" s="745" t="n">
        <x:v>46121</x:v>
      </x:c>
      <x:c r="F27" s="745" t="n">
        <x:v>46123</x:v>
      </x:c>
      <x:c r="G27" s="746" t="str">
        <x:v>P2</x:v>
      </x:c>
    </x:row>
    <x:row r="28" ht="20" customHeight="1">
      <x:c r="A28" s="587" t="str">
        <x:v>ORD-0015</x:v>
      </x:c>
      <x:c r="B28" s="588" t="str">
        <x:v>Balqa|Fiber|C30015|MIG</x:v>
      </x:c>
      <x:c r="C28" s="588" t="str">
        <x:v>ACC-35614</x:v>
      </x:c>
      <x:c r="D28" s="745" t="n">
        <x:v>46117</x:v>
      </x:c>
      <x:c r="E28" s="745" t="n">
        <x:v>46127</x:v>
      </x:c>
      <x:c r="F28" s="745" t="n">
        <x:v>46132</x:v>
      </x:c>
      <x:c r="G28" s="746" t="str">
        <x:v>P3</x:v>
      </x:c>
    </x:row>
    <x:row r="29" ht="20" customHeight="1">
      <x:c r="A29" s="587" t="str">
        <x:v>ORD-0016</x:v>
      </x:c>
      <x:c r="B29" s="588" t="str">
        <x:v>Balqa|Fiber|C30016|REN</x:v>
      </x:c>
      <x:c r="C29" s="588" t="str">
        <x:v>ACC-40539</x:v>
      </x:c>
      <x:c r="D29" s="745" t="n">
        <x:v>46024</x:v>
      </x:c>
      <x:c r="E29" s="745" t="n">
        <x:v>46031</x:v>
      </x:c>
      <x:c r="F29" s="745" t="n">
        <x:v>46029</x:v>
      </x:c>
      <x:c r="G29" s="746" t="str">
        <x:v>P3</x:v>
      </x:c>
    </x:row>
    <x:row r="30" ht="20" customHeight="1">
      <x:c r="A30" s="587" t="str">
        <x:v>ORD-0017</x:v>
      </x:c>
      <x:c r="B30" s="588" t="str">
        <x:v>Zarqa|Mobile|C30017|UPG</x:v>
      </x:c>
      <x:c r="C30" s="588" t="str">
        <x:v>ACC-50306</x:v>
      </x:c>
      <x:c r="D30" s="745" t="n">
        <x:v>46023</x:v>
      </x:c>
      <x:c r="E30" s="745" t="n">
        <x:v>46034</x:v>
      </x:c>
      <x:c r="F30" s="745" t="n">
        <x:v>46038</x:v>
      </x:c>
      <x:c r="G30" s="746" t="str">
        <x:v>P1</x:v>
      </x:c>
    </x:row>
    <x:row r="31" ht="20" customHeight="1">
      <x:c r="A31" s="587" t="str">
        <x:v>ORD-0018</x:v>
      </x:c>
      <x:c r="B31" s="588" t="str">
        <x:v>Irbid|Fiber|C30018|MIG</x:v>
      </x:c>
      <x:c r="C31" s="588" t="n">
        <x:v>46677</x:v>
      </x:c>
      <x:c r="D31" s="745" t="n">
        <x:v>46148</x:v>
      </x:c>
      <x:c r="E31" s="745" t="n">
        <x:v>46149</x:v>
      </x:c>
      <x:c r="F31" s="745" t="n">
        <x:v>46149</x:v>
      </x:c>
      <x:c r="G31" s="746" t="str">
        <x:v>P1</x:v>
      </x:c>
    </x:row>
    <x:row r="32" ht="20" customHeight="1">
      <x:c r="A32" s="587" t="str">
        <x:v>ORD-0019</x:v>
      </x:c>
      <x:c r="B32" s="588" t="str">
        <x:v>Amman|Fiber|C30019|MIG</x:v>
      </x:c>
      <x:c r="C32" s="588" t="str">
        <x:v>ACC-21128</x:v>
      </x:c>
      <x:c r="D32" s="745" t="n">
        <x:v>46202</x:v>
      </x:c>
      <x:c r="E32" s="745" t="n">
        <x:v>46208</x:v>
      </x:c>
      <x:c r="F32" s="745" t="n">
        <x:v>46213</x:v>
      </x:c>
      <x:c r="G32" s="746" t="str">
        <x:v>P3</x:v>
      </x:c>
    </x:row>
    <x:row r="33" ht="20" customHeight="1">
      <x:c r="A33" s="587" t="str">
        <x:v>ORD-0020</x:v>
      </x:c>
      <x:c r="B33" s="588" t="str">
        <x:v>Amman|Fiber|C30020|MIG</x:v>
      </x:c>
      <x:c r="C33" s="588" t="str">
        <x:v>ACC-67014</x:v>
      </x:c>
      <x:c r="D33" s="745" t="n">
        <x:v>46042</x:v>
      </x:c>
      <x:c r="E33" s="745" t="n">
        <x:v>46052</x:v>
      </x:c>
      <x:c r="F33" s="745" t="n">
        <x:v>46050</x:v>
      </x:c>
      <x:c r="G33" s="746" t="str">
        <x:v>P3</x:v>
      </x:c>
    </x:row>
    <x:row r="34" ht="20" customHeight="1">
      <x:c r="A34" s="587" t="str">
        <x:v>ORD-0021</x:v>
      </x:c>
      <x:c r="B34" s="588" t="str">
        <x:v>Irbid|Fiber|C30021|UPG</x:v>
      </x:c>
      <x:c r="C34" s="588" t="str">
        <x:v>ACC-52762</x:v>
      </x:c>
      <x:c r="D34" s="745" t="n">
        <x:v>46089</x:v>
      </x:c>
      <x:c r="E34" s="745" t="n">
        <x:v>46095</x:v>
      </x:c>
      <x:c r="F34" s="745" t="n">
        <x:v>46099</x:v>
      </x:c>
      <x:c r="G34" s="746" t="str">
        <x:v>P2</x:v>
      </x:c>
    </x:row>
    <x:row r="35" ht="20" customHeight="1">
      <x:c r="A35" s="587" t="str">
        <x:v>ORD-0022</x:v>
      </x:c>
      <x:c r="B35" s="588" t="str">
        <x:v>Aqaba|5G Home|C30022|REN</x:v>
      </x:c>
      <x:c r="C35" s="588" t="str">
        <x:v>ACC-86638</x:v>
      </x:c>
      <x:c r="D35" s="745" t="n">
        <x:v>46042</x:v>
      </x:c>
      <x:c r="E35" s="745" t="n">
        <x:v>46046</x:v>
      </x:c>
      <x:c r="F35" s="745" t="n">
        <x:v>46046</x:v>
      </x:c>
      <x:c r="G35" s="746" t="str">
        <x:v>P1</x:v>
      </x:c>
    </x:row>
    <x:row r="36" ht="20" customHeight="1">
      <x:c r="A36" s="587" t="str">
        <x:v>ORD-0023</x:v>
      </x:c>
      <x:c r="B36" s="588" t="str">
        <x:v>Irbid|Mobile|C30023|REN</x:v>
      </x:c>
      <x:c r="C36" s="588" t="str">
        <x:v>ACC-63282</x:v>
      </x:c>
      <x:c r="D36" s="745" t="n">
        <x:v>46138</x:v>
      </x:c>
      <x:c r="E36" s="745" t="n">
        <x:v>46146</x:v>
      </x:c>
      <x:c r="F36" s="745" t="n">
        <x:v>46149</x:v>
      </x:c>
      <x:c r="G36" s="746" t="str">
        <x:v>P1</x:v>
      </x:c>
    </x:row>
    <x:row r="37" ht="20" customHeight="1">
      <x:c r="A37" s="587" t="str">
        <x:v>ORD-0024</x:v>
      </x:c>
      <x:c r="B37" s="588" t="str">
        <x:v>Balqa|5G Home|C30024|REN</x:v>
      </x:c>
      <x:c r="C37" s="588" t="n">
        <x:v>44735</x:v>
      </x:c>
      <x:c r="D37" s="745" t="n">
        <x:v>46138</x:v>
      </x:c>
      <x:c r="E37" s="745" t="n">
        <x:v>46143</x:v>
      </x:c>
      <x:c r="F37" s="745" t="n">
        <x:v>46148</x:v>
      </x:c>
      <x:c r="G37" s="746" t="str">
        <x:v>P1</x:v>
      </x:c>
    </x:row>
    <x:row r="38" ht="20" customHeight="1">
      <x:c r="A38" s="587" t="str">
        <x:v>ORD-0025</x:v>
      </x:c>
      <x:c r="B38" s="588" t="str">
        <x:v>Amman|Fiber|C30025|UPG</x:v>
      </x:c>
      <x:c r="C38" s="588" t="str">
        <x:v>ACC-38183</x:v>
      </x:c>
      <x:c r="D38" s="745" t="n">
        <x:v>46234</x:v>
      </x:c>
      <x:c r="E38" s="745" t="n">
        <x:v>46246</x:v>
      </x:c>
      <x:c r="F38" s="745" t="n">
        <x:v>46244</x:v>
      </x:c>
      <x:c r="G38" s="746" t="str">
        <x:v>P2</x:v>
      </x:c>
    </x:row>
    <x:row r="39" ht="20" customHeight="1">
      <x:c r="A39" s="587" t="str">
        <x:v>ORD-0026</x:v>
      </x:c>
      <x:c r="B39" s="588" t="str">
        <x:v>Irbid|Mobile|C30026|REN</x:v>
      </x:c>
      <x:c r="C39" s="588" t="str">
        <x:v>ACC-98759</x:v>
      </x:c>
      <x:c r="D39" s="745" t="n">
        <x:v>46114</x:v>
      </x:c>
      <x:c r="E39" s="745" t="n">
        <x:v>46121</x:v>
      </x:c>
      <x:c r="F39" s="745" t="n">
        <x:v>46119</x:v>
      </x:c>
      <x:c r="G39" s="746" t="str">
        <x:v>P2</x:v>
      </x:c>
    </x:row>
    <x:row r="40" ht="20" customHeight="1">
      <x:c r="A40" s="587" t="str">
        <x:v>ORD-0027</x:v>
      </x:c>
      <x:c r="B40" s="588" t="str">
        <x:v>Zarqa|Fiber|C30027|ACT</x:v>
      </x:c>
      <x:c r="C40" s="588" t="str">
        <x:v>ACC-22415</x:v>
      </x:c>
      <x:c r="D40" s="745" t="n">
        <x:v>46126</x:v>
      </x:c>
      <x:c r="E40" s="745" t="n">
        <x:v>46134</x:v>
      </x:c>
      <x:c r="F40" s="745" t="n">
        <x:v>46135</x:v>
      </x:c>
      <x:c r="G40" s="746" t="str">
        <x:v>P2</x:v>
      </x:c>
    </x:row>
    <x:row r="41" ht="20" customHeight="1">
      <x:c r="A41" s="587" t="str">
        <x:v>ORD-0028</x:v>
      </x:c>
      <x:c r="B41" s="588" t="str">
        <x:v>Amman|Fiber|C30028|ACT</x:v>
      </x:c>
      <x:c r="C41" s="588" t="str">
        <x:v>ACC-27133</x:v>
      </x:c>
      <x:c r="D41" s="745" t="n">
        <x:v>46026</x:v>
      </x:c>
      <x:c r="E41" s="745" t="n">
        <x:v>46027</x:v>
      </x:c>
      <x:c r="F41" s="745" t="n">
        <x:v>46028</x:v>
      </x:c>
      <x:c r="G41" s="746" t="str">
        <x:v>P1</x:v>
      </x:c>
    </x:row>
    <x:row r="42" ht="20" customHeight="1">
      <x:c r="A42" s="587" t="str">
        <x:v>ORD-0029</x:v>
      </x:c>
      <x:c r="B42" s="588" t="str">
        <x:v>Aqaba|5G Home|C30029|ACT</x:v>
      </x:c>
      <x:c r="C42" s="588" t="str">
        <x:v>ACC-19828</x:v>
      </x:c>
      <x:c r="D42" s="745" t="n">
        <x:v>46172</x:v>
      </x:c>
      <x:c r="E42" s="745" t="n">
        <x:v>46182</x:v>
      </x:c>
      <x:c r="F42" s="745" t="n">
        <x:v>46184</x:v>
      </x:c>
      <x:c r="G42" s="746" t="str">
        <x:v>P1</x:v>
      </x:c>
    </x:row>
    <x:row r="43" ht="20" customHeight="1">
      <x:c r="A43" s="587" t="str">
        <x:v>ORD-0030</x:v>
      </x:c>
      <x:c r="B43" s="588" t="str">
        <x:v>Amman|Fiber|C30030|MIG</x:v>
      </x:c>
      <x:c r="C43" s="588" t="n">
        <x:v>53456</x:v>
      </x:c>
      <x:c r="D43" s="745" t="n">
        <x:v>46230</x:v>
      </x:c>
      <x:c r="E43" s="745" t="n">
        <x:v>46233</x:v>
      </x:c>
      <x:c r="F43" s="745" t="n">
        <x:v>46232</x:v>
      </x:c>
      <x:c r="G43" s="746" t="str">
        <x:v>P1</x:v>
      </x:c>
    </x:row>
    <x:row r="44" ht="20" customHeight="1">
      <x:c r="A44" s="587" t="str">
        <x:v>ORD-0031</x:v>
      </x:c>
      <x:c r="B44" s="588" t="str">
        <x:v>Amman|Enterprise Data|C30031|ACT</x:v>
      </x:c>
      <x:c r="C44" s="588" t="str">
        <x:v>ACC-61773</x:v>
      </x:c>
      <x:c r="D44" s="745" t="n">
        <x:v>46066</x:v>
      </x:c>
      <x:c r="E44" s="745" t="n">
        <x:v>46076</x:v>
      </x:c>
      <x:c r="F44" s="745" t="n">
        <x:v>46080</x:v>
      </x:c>
      <x:c r="G44" s="746" t="str">
        <x:v>P2</x:v>
      </x:c>
    </x:row>
    <x:row r="45" ht="20" customHeight="1">
      <x:c r="A45" s="587" t="str">
        <x:v>ORD-0032</x:v>
      </x:c>
      <x:c r="B45" s="588" t="str">
        <x:v>Amman|Enterprise Data|C30032|MIG</x:v>
      </x:c>
      <x:c r="C45" s="588" t="str">
        <x:v>ACC-34530</x:v>
      </x:c>
      <x:c r="D45" s="745" t="n">
        <x:v>46067</x:v>
      </x:c>
      <x:c r="E45" s="745" t="n">
        <x:v>46073</x:v>
      </x:c>
      <x:c r="F45" s="745" t="n">
        <x:v>46074</x:v>
      </x:c>
      <x:c r="G45" s="746" t="str">
        <x:v>P2</x:v>
      </x:c>
    </x:row>
    <x:row r="46" ht="20" customHeight="1">
      <x:c r="A46" s="587" t="str">
        <x:v>ORD-0033</x:v>
      </x:c>
      <x:c r="B46" s="588" t="str">
        <x:v>Zarqa|Enterprise Data|C30033|REN</x:v>
      </x:c>
      <x:c r="C46" s="588" t="str">
        <x:v>ACC-94840</x:v>
      </x:c>
      <x:c r="D46" s="745" t="n">
        <x:v>46031</x:v>
      </x:c>
      <x:c r="E46" s="745" t="n">
        <x:v>46041</x:v>
      </x:c>
      <x:c r="F46" s="745" t="n">
        <x:v>46042</x:v>
      </x:c>
      <x:c r="G46" s="746" t="str">
        <x:v>P2</x:v>
      </x:c>
    </x:row>
    <x:row r="47" ht="20" customHeight="1">
      <x:c r="A47" s="587" t="str">
        <x:v>ORD-0034</x:v>
      </x:c>
      <x:c r="B47" s="588" t="str">
        <x:v>Aqaba|Enterprise Data|C30034|MIG</x:v>
      </x:c>
      <x:c r="C47" s="588" t="str">
        <x:v>ACC-60202</x:v>
      </x:c>
      <x:c r="D47" s="745" t="n">
        <x:v>46038</x:v>
      </x:c>
      <x:c r="E47" s="745" t="n">
        <x:v>46040</x:v>
      </x:c>
      <x:c r="F47" s="745" t="n">
        <x:v>46042</x:v>
      </x:c>
      <x:c r="G47" s="746" t="str">
        <x:v>P1</x:v>
      </x:c>
    </x:row>
    <x:row r="48" ht="20" customHeight="1">
      <x:c r="A48" s="587" t="str">
        <x:v>ORD-0035</x:v>
      </x:c>
      <x:c r="B48" s="588" t="str">
        <x:v>Aqaba|Fiber|C30035|REN</x:v>
      </x:c>
      <x:c r="C48" s="588" t="str">
        <x:v>ACC-60134</x:v>
      </x:c>
      <x:c r="D48" s="745" t="n">
        <x:v>46184</x:v>
      </x:c>
      <x:c r="E48" s="745" t="n">
        <x:v>46193</x:v>
      </x:c>
      <x:c r="F48" s="745" t="n">
        <x:v>46191</x:v>
      </x:c>
      <x:c r="G48" s="746" t="str">
        <x:v>P3</x:v>
      </x:c>
    </x:row>
    <x:row r="49" ht="20" customHeight="1">
      <x:c r="A49" s="587" t="str">
        <x:v>ORD-0036</x:v>
      </x:c>
      <x:c r="B49" s="588" t="str">
        <x:v>Zarqa|Enterprise Data|C30036|MIG</x:v>
      </x:c>
      <x:c r="C49" s="588" t="n">
        <x:v>60905</x:v>
      </x:c>
      <x:c r="D49" s="745" t="n">
        <x:v>46111</x:v>
      </x:c>
      <x:c r="E49" s="745" t="n">
        <x:v>46121</x:v>
      </x:c>
      <x:c r="F49" s="745" t="n">
        <x:v>46124</x:v>
      </x:c>
      <x:c r="G49" s="746" t="str">
        <x:v>P2</x:v>
      </x:c>
    </x:row>
    <x:row r="50" ht="20" customHeight="1">
      <x:c r="A50" s="587" t="str">
        <x:v>ORD-0037</x:v>
      </x:c>
      <x:c r="B50" s="588" t="str">
        <x:v>Irbid|Mobile|C30037|UPG</x:v>
      </x:c>
      <x:c r="C50" s="588" t="str">
        <x:v>ACC-46822</x:v>
      </x:c>
      <x:c r="D50" s="745" t="n">
        <x:v>46175</x:v>
      </x:c>
      <x:c r="E50" s="745" t="n">
        <x:v>46179</x:v>
      </x:c>
      <x:c r="F50" s="745" t="n">
        <x:v>46177</x:v>
      </x:c>
      <x:c r="G50" s="746" t="str">
        <x:v>P1</x:v>
      </x:c>
    </x:row>
    <x:row r="51" ht="20" customHeight="1">
      <x:c r="A51" s="587" t="str">
        <x:v>ORD-0038</x:v>
      </x:c>
      <x:c r="B51" s="588" t="str">
        <x:v>Aqaba|5G Home|C30038|REN</x:v>
      </x:c>
      <x:c r="C51" s="588" t="str">
        <x:v>ACC-96096</x:v>
      </x:c>
      <x:c r="D51" s="745" t="n">
        <x:v>46063</x:v>
      </x:c>
      <x:c r="E51" s="745" t="n">
        <x:v>46065</x:v>
      </x:c>
      <x:c r="F51" s="745" t="n">
        <x:v>46066</x:v>
      </x:c>
      <x:c r="G51" s="746" t="str">
        <x:v>P1</x:v>
      </x:c>
    </x:row>
    <x:row r="52" ht="20" customHeight="1">
      <x:c r="A52" s="587" t="str">
        <x:v>ORD-0039</x:v>
      </x:c>
      <x:c r="B52" s="588" t="str">
        <x:v>Zarqa|Mobile|C30039|REN</x:v>
      </x:c>
      <x:c r="C52" s="588" t="str">
        <x:v>ACC-32768</x:v>
      </x:c>
      <x:c r="D52" s="745" t="n">
        <x:v>46170</x:v>
      </x:c>
      <x:c r="E52" s="745" t="n">
        <x:v>46177</x:v>
      </x:c>
      <x:c r="F52" s="745" t="n">
        <x:v>46180</x:v>
      </x:c>
      <x:c r="G52" s="746" t="str">
        <x:v>P1</x:v>
      </x:c>
    </x:row>
    <x:row r="53" ht="20" customHeight="1">
      <x:c r="A53" s="587" t="str">
        <x:v>ORD-0040</x:v>
      </x:c>
      <x:c r="B53" s="588" t="str">
        <x:v>Irbid|5G Home|C30040|UPG</x:v>
      </x:c>
      <x:c r="C53" s="588" t="str">
        <x:v>ACC-84403</x:v>
      </x:c>
      <x:c r="D53" s="745" t="n">
        <x:v>46174</x:v>
      </x:c>
      <x:c r="E53" s="745" t="n">
        <x:v>46175</x:v>
      </x:c>
      <x:c r="F53" s="745" t="n">
        <x:v>46178</x:v>
      </x:c>
      <x:c r="G53" s="746" t="str">
        <x:v>P3</x:v>
      </x:c>
    </x:row>
    <x:row r="54" ht="20" customHeight="1">
      <x:c r="A54" s="587" t="str">
        <x:v>ORD-0041</x:v>
      </x:c>
      <x:c r="B54" s="588" t="str">
        <x:v>Irbid|Fiber|C30041|MIG</x:v>
      </x:c>
      <x:c r="C54" s="588" t="str">
        <x:v>ACC-74282</x:v>
      </x:c>
      <x:c r="D54" s="745" t="n">
        <x:v>46161</x:v>
      </x:c>
      <x:c r="E54" s="745" t="n">
        <x:v>46166</x:v>
      </x:c>
      <x:c r="F54" s="745" t="n">
        <x:v>46166</x:v>
      </x:c>
      <x:c r="G54" s="746" t="str">
        <x:v>P1</x:v>
      </x:c>
    </x:row>
    <x:row r="55" ht="20" customHeight="1">
      <x:c r="A55" s="587" t="str">
        <x:v>ORD-0042</x:v>
      </x:c>
      <x:c r="B55" s="588" t="str">
        <x:v>Amman|Mobile|C30042|REN</x:v>
      </x:c>
      <x:c r="C55" s="588" t="n">
        <x:v>79002</x:v>
      </x:c>
      <x:c r="D55" s="745" t="n">
        <x:v>46177</x:v>
      </x:c>
      <x:c r="E55" s="745" t="n">
        <x:v>46181</x:v>
      </x:c>
      <x:c r="F55" s="745" t="n">
        <x:v>46179</x:v>
      </x:c>
      <x:c r="G55" s="746" t="str">
        <x:v>P2</x:v>
      </x:c>
    </x:row>
    <x:row r="56" ht="20" customHeight="1">
      <x:c r="A56" s="587" t="str">
        <x:v>ORD-0043</x:v>
      </x:c>
      <x:c r="B56" s="588" t="str">
        <x:v>Amman|5G Home|C30043|REN</x:v>
      </x:c>
      <x:c r="C56" s="588" t="str">
        <x:v>ACC-33260</x:v>
      </x:c>
      <x:c r="D56" s="745" t="n">
        <x:v>46229</x:v>
      </x:c>
      <x:c r="E56" s="745" t="n">
        <x:v>46232</x:v>
      </x:c>
      <x:c r="F56" s="745" t="n">
        <x:v>46235</x:v>
      </x:c>
      <x:c r="G56" s="746" t="str">
        <x:v>P2</x:v>
      </x:c>
    </x:row>
    <x:row r="57" ht="20" customHeight="1">
      <x:c r="A57" s="587" t="str">
        <x:v>ORD-0044</x:v>
      </x:c>
      <x:c r="B57" s="588" t="str">
        <x:v>Amman|Mobile|C30044|REN</x:v>
      </x:c>
      <x:c r="C57" s="588" t="str">
        <x:v>ACC-24538</x:v>
      </x:c>
      <x:c r="D57" s="745" t="n">
        <x:v>46173</x:v>
      </x:c>
      <x:c r="E57" s="745" t="n">
        <x:v>46185</x:v>
      </x:c>
      <x:c r="F57" s="745" t="n">
        <x:v>46185</x:v>
      </x:c>
      <x:c r="G57" s="746" t="str">
        <x:v>P3</x:v>
      </x:c>
    </x:row>
    <x:row r="58" ht="20" customHeight="1">
      <x:c r="A58" s="587" t="str">
        <x:v>ORD-0045</x:v>
      </x:c>
      <x:c r="B58" s="588" t="str">
        <x:v>Zarqa|Mobile|C30045|UPG</x:v>
      </x:c>
      <x:c r="C58" s="588" t="str">
        <x:v>ACC-86810</x:v>
      </x:c>
      <x:c r="D58" s="745" t="n">
        <x:v>46203</x:v>
      </x:c>
      <x:c r="E58" s="745" t="n">
        <x:v>46214</x:v>
      </x:c>
      <x:c r="F58" s="745" t="n">
        <x:v>46218</x:v>
      </x:c>
      <x:c r="G58" s="746" t="str">
        <x:v>P1</x:v>
      </x:c>
    </x:row>
    <x:row r="59" ht="20" customHeight="1">
      <x:c r="A59" s="587" t="str">
        <x:v>ORD-0046</x:v>
      </x:c>
      <x:c r="B59" s="588" t="str">
        <x:v>Zarqa|5G Home|C30046|UPG</x:v>
      </x:c>
      <x:c r="C59" s="588" t="str">
        <x:v>ACC-93789</x:v>
      </x:c>
      <x:c r="D59" s="745" t="n">
        <x:v>46057</x:v>
      </x:c>
      <x:c r="E59" s="745" t="n">
        <x:v>46060</x:v>
      </x:c>
      <x:c r="F59" s="745" t="n">
        <x:v>46064</x:v>
      </x:c>
      <x:c r="G59" s="746" t="str">
        <x:v>P2</x:v>
      </x:c>
    </x:row>
    <x:row r="60" ht="20" customHeight="1">
      <x:c r="A60" s="587" t="str">
        <x:v>ORD-0047</x:v>
      </x:c>
      <x:c r="B60" s="588" t="str">
        <x:v>Zarqa|Fiber|C30047|UPG</x:v>
      </x:c>
      <x:c r="C60" s="588" t="str">
        <x:v>ACC-59595</x:v>
      </x:c>
      <x:c r="D60" s="745" t="n">
        <x:v>46080</x:v>
      </x:c>
      <x:c r="E60" s="745" t="n">
        <x:v>46091</x:v>
      </x:c>
      <x:c r="F60" s="745" t="n">
        <x:v>46091</x:v>
      </x:c>
      <x:c r="G60" s="746" t="str">
        <x:v>P2</x:v>
      </x:c>
    </x:row>
    <x:row r="61" ht="20" customHeight="1">
      <x:c r="A61" s="587" t="str">
        <x:v>ORD-0048</x:v>
      </x:c>
      <x:c r="B61" s="588" t="str">
        <x:v>Zarqa|Fiber|C30048|REN</x:v>
      </x:c>
      <x:c r="C61" s="588" t="n">
        <x:v>84381</x:v>
      </x:c>
      <x:c r="D61" s="745" t="n">
        <x:v>46209</x:v>
      </x:c>
      <x:c r="E61" s="745" t="n">
        <x:v>46210</x:v>
      </x:c>
      <x:c r="F61" s="745" t="n">
        <x:v>46214</x:v>
      </x:c>
      <x:c r="G61" s="746" t="str">
        <x:v>P1</x:v>
      </x:c>
    </x:row>
    <x:row r="62" ht="20" customHeight="1">
      <x:c r="A62" s="587" t="str">
        <x:v>ORD-0049</x:v>
      </x:c>
      <x:c r="B62" s="588" t="str">
        <x:v>Irbid|5G Home|C30049|REN</x:v>
      </x:c>
      <x:c r="C62" s="588" t="str">
        <x:v>ACC-75035</x:v>
      </x:c>
      <x:c r="D62" s="745" t="n">
        <x:v>46186</x:v>
      </x:c>
      <x:c r="E62" s="745" t="n">
        <x:v>46196</x:v>
      </x:c>
      <x:c r="F62" s="745" t="n">
        <x:v>46195</x:v>
      </x:c>
      <x:c r="G62" s="746" t="str">
        <x:v>P1</x:v>
      </x:c>
    </x:row>
    <x:row r="63" ht="20" customHeight="1">
      <x:c r="A63" s="587" t="str">
        <x:v>ORD-0050</x:v>
      </x:c>
      <x:c r="B63" s="588" t="str">
        <x:v>Zarqa|Mobile|C30050|REN</x:v>
      </x:c>
      <x:c r="C63" s="588" t="str">
        <x:v>ACC-93386</x:v>
      </x:c>
      <x:c r="D63" s="745" t="n">
        <x:v>46111</x:v>
      </x:c>
      <x:c r="E63" s="745" t="n">
        <x:v>46117</x:v>
      </x:c>
      <x:c r="F63" s="745" t="n">
        <x:v>46117</x:v>
      </x:c>
      <x:c r="G63" s="746" t="str">
        <x:v>P1</x:v>
      </x:c>
    </x:row>
    <x:row r="64" ht="20" customHeight="1">
      <x:c r="A64" s="587" t="str">
        <x:v>ORD-0051</x:v>
      </x:c>
      <x:c r="B64" s="588" t="str">
        <x:v>Zarqa|Enterprise Data|C30051|ACT</x:v>
      </x:c>
      <x:c r="C64" s="588" t="str">
        <x:v>ACC-18885</x:v>
      </x:c>
      <x:c r="D64" s="745" t="n">
        <x:v>46090</x:v>
      </x:c>
      <x:c r="E64" s="745" t="n">
        <x:v>46094</x:v>
      </x:c>
      <x:c r="F64" s="745" t="n">
        <x:v>46095</x:v>
      </x:c>
      <x:c r="G64" s="746" t="str">
        <x:v>P2</x:v>
      </x:c>
    </x:row>
    <x:row r="65" ht="20" customHeight="1">
      <x:c r="A65" s="587" t="str">
        <x:v>ORD-0052</x:v>
      </x:c>
      <x:c r="B65" s="588" t="str">
        <x:v>Zarqa|Mobile|C30052|ACT</x:v>
      </x:c>
      <x:c r="C65" s="588" t="str">
        <x:v>ACC-65004</x:v>
      </x:c>
      <x:c r="D65" s="745" t="n">
        <x:v>46035</x:v>
      </x:c>
      <x:c r="E65" s="745" t="n">
        <x:v>46042</x:v>
      </x:c>
      <x:c r="F65" s="745" t="n">
        <x:v>46047</x:v>
      </x:c>
      <x:c r="G65" s="746" t="str">
        <x:v>P1</x:v>
      </x:c>
    </x:row>
    <x:row r="66" ht="20" customHeight="1">
      <x:c r="A66" s="591" t="str">
        <x:v>ORD-0053</x:v>
      </x:c>
      <x:c r="B66" s="579" t="str">
        <x:v>Aqaba|Enterprise Data|C30053|MIG</x:v>
      </x:c>
      <x:c r="C66" s="579" t="str">
        <x:v>ACC-23294</x:v>
      </x:c>
      <x:c r="D66" s="747" t="n">
        <x:v>46112</x:v>
      </x:c>
      <x:c r="E66" s="747" t="n">
        <x:v>46121</x:v>
      </x:c>
      <x:c r="F66" s="747" t="n">
        <x:v>46125</x:v>
      </x:c>
      <x:c r="G66" s="748" t="str">
        <x:v>P2</x:v>
      </x:c>
    </x:row>
    <x:row r="67" ht="20" customHeight="1">
      <x:c r="A67" s="599" t="str">
        <x:v>ORD-0054</x:v>
      </x:c>
      <x:c r="B67" s="600" t="str">
        <x:v>Balqa|Fiber|C30054|REN</x:v>
      </x:c>
      <x:c r="C67" s="600" t="n">
        <x:v>48654</x:v>
      </x:c>
      <x:c r="D67" s="750" t="n">
        <x:v>46138</x:v>
      </x:c>
      <x:c r="E67" s="750" t="n">
        <x:v>46140</x:v>
      </x:c>
      <x:c r="F67" s="750" t="n">
        <x:v>46138</x:v>
      </x:c>
      <x:c r="G67" s="598" t="str">
        <x:v>P1</x:v>
      </x:c>
    </x:row>
    <x:row r="68" ht="20" customHeight="1">
      <x:c r="A68" s="599" t="str">
        <x:v>ORD-0055</x:v>
      </x:c>
      <x:c r="B68" s="600" t="str">
        <x:v>Zarqa|5G Home|C30055|ACT</x:v>
      </x:c>
      <x:c r="C68" s="600" t="str">
        <x:v>ACC-59212</x:v>
      </x:c>
      <x:c r="D68" s="750" t="n">
        <x:v>46041</x:v>
      </x:c>
      <x:c r="E68" s="750" t="n">
        <x:v>46047</x:v>
      </x:c>
      <x:c r="F68" s="750" t="n">
        <x:v>46047</x:v>
      </x:c>
      <x:c r="G68" s="598" t="str">
        <x:v>P1</x:v>
      </x:c>
    </x:row>
    <x:row r="69" ht="20" customHeight="1">
      <x:c r="A69" s="599" t="str">
        <x:v>ORD-0056</x:v>
      </x:c>
      <x:c r="B69" s="600" t="str">
        <x:v>Amman|Mobile|C30056|UPG</x:v>
      </x:c>
      <x:c r="C69" s="600" t="str">
        <x:v>ACC-14062</x:v>
      </x:c>
      <x:c r="D69" s="750" t="n">
        <x:v>46175</x:v>
      </x:c>
      <x:c r="E69" s="750" t="n">
        <x:v>46185</x:v>
      </x:c>
      <x:c r="F69" s="750" t="n">
        <x:v>46190</x:v>
      </x:c>
      <x:c r="G69" s="598" t="str">
        <x:v>P2</x:v>
      </x:c>
    </x:row>
    <x:row r="70" ht="20" customHeight="1">
      <x:c r="A70" s="599" t="str">
        <x:v>ORD-0057</x:v>
      </x:c>
      <x:c r="B70" s="600" t="str">
        <x:v>Irbid|Enterprise Data|C30057|REN</x:v>
      </x:c>
      <x:c r="C70" s="600" t="str">
        <x:v>ACC-36941</x:v>
      </x:c>
      <x:c r="D70" s="750" t="n">
        <x:v>46036</x:v>
      </x:c>
      <x:c r="E70" s="750" t="n">
        <x:v>46038</x:v>
      </x:c>
      <x:c r="F70" s="750" t="n">
        <x:v>46041</x:v>
      </x:c>
      <x:c r="G70" s="598" t="str">
        <x:v>P1</x:v>
      </x:c>
    </x:row>
    <x:row r="71" ht="20" customHeight="1">
      <x:c r="A71" s="599" t="str">
        <x:v>ORD-0058</x:v>
      </x:c>
      <x:c r="B71" s="600" t="str">
        <x:v>Aqaba|5G Home|C30058|UPG</x:v>
      </x:c>
      <x:c r="C71" s="600" t="str">
        <x:v>ACC-16505</x:v>
      </x:c>
      <x:c r="D71" s="750" t="n">
        <x:v>46099</x:v>
      </x:c>
      <x:c r="E71" s="750" t="n">
        <x:v>46103</x:v>
      </x:c>
      <x:c r="F71" s="750" t="n">
        <x:v>46102</x:v>
      </x:c>
      <x:c r="G71" s="598" t="str">
        <x:v>P2</x:v>
      </x:c>
    </x:row>
    <x:row r="72" ht="20" customHeight="1">
      <x:c r="A72" s="599" t="str">
        <x:v>ORD-0059</x:v>
      </x:c>
      <x:c r="B72" s="600" t="str">
        <x:v>Balqa|Enterprise Data|C30059|REN</x:v>
      </x:c>
      <x:c r="C72" s="600" t="str">
        <x:v>ACC-66047</x:v>
      </x:c>
      <x:c r="D72" s="750" t="n">
        <x:v>46036</x:v>
      </x:c>
      <x:c r="E72" s="750" t="n">
        <x:v>46042</x:v>
      </x:c>
      <x:c r="F72" s="750" t="n">
        <x:v>46040</x:v>
      </x:c>
      <x:c r="G72" s="598" t="str">
        <x:v>P1</x:v>
      </x:c>
    </x:row>
    <x:row r="73" ht="20" customHeight="1">
      <x:c r="A73" s="601" t="str">
        <x:v>ORD-0060</x:v>
      </x:c>
      <x:c r="B73" s="602" t="str">
        <x:v>Zarqa|Enterprise Data|C30060|REN</x:v>
      </x:c>
      <x:c r="C73" s="602" t="n">
        <x:v>32391</x:v>
      </x:c>
      <x:c r="D73" s="751" t="n">
        <x:v>46047</x:v>
      </x:c>
      <x:c r="E73" s="751" t="n">
        <x:v>46048</x:v>
      </x:c>
      <x:c r="F73" s="751" t="n">
        <x:v>46049</x:v>
      </x:c>
      <x:c r="G73" s="603" t="str">
        <x:v>P3</x:v>
      </x:c>
    </x:row>
    <x:row r="74">
      <x:c r="A74" s="355"/>
      <x:c r="B74" s="355"/>
      <x:c r="C74" s="355"/>
      <x:c r="D74" s="355"/>
      <x:c r="E74" s="355"/>
      <x:c r="F74" s="355"/>
      <x:c r="G74" s="355"/>
    </x:row>
    <x:row r="75">
      <x:c r="A75" s="355"/>
      <x:c r="B75" s="355"/>
      <x:c r="C75" s="355"/>
      <x:c r="D75" s="355"/>
      <x:c r="E75" s="355"/>
      <x:c r="F75" s="355"/>
      <x:c r="G75" s="355"/>
    </x:row>
    <x:row r="76">
      <x:c r="A76" s="355"/>
      <x:c r="B76" s="355"/>
      <x:c r="C76" s="355"/>
      <x:c r="D76" s="355"/>
      <x:c r="E76" s="355"/>
      <x:c r="F76" s="355"/>
      <x:c r="G76" s="355"/>
    </x:row>
    <x:row r="77">
      <x:c r="A77" s="355"/>
      <x:c r="B77" s="355"/>
      <x:c r="C77" s="355"/>
      <x:c r="D77" s="355"/>
      <x:c r="E77" s="355"/>
      <x:c r="F77" s="355"/>
      <x:c r="G77" s="355"/>
    </x:row>
    <x:row r="78">
      <x:c r="A78" s="355"/>
      <x:c r="B78" s="355"/>
      <x:c r="C78" s="355"/>
      <x:c r="D78" s="355"/>
      <x:c r="E78" s="355"/>
      <x:c r="F78" s="355"/>
      <x:c r="G78" s="355"/>
    </x:row>
  </x:sheetData>
  <x:mergeCells>
    <x:mergeCell ref="A1:G2"/>
    <x:mergeCell ref="A3:G3"/>
    <x:mergeCell ref="A5:G6"/>
    <x:mergeCell ref="A7:G8"/>
    <x:mergeCell ref="A10:G10"/>
    <x:mergeCell ref="A11:G11"/>
  </x:mergeCells>
  <x:conditionalFormatting sqref="C14:C73">
    <x:cfRule type="expression" dxfId="0" priority="1">
      <x:formula>ISNUMBER(C14)</x:formula>
    </x:cfRule>
  </x:conditionalFormatting>
  <x:dataValidations count="7">
    <x:dataValidation allowBlank="1" showInputMessage="1" promptTitle="Order ID | رقم الطلب" prompt="Unique service-order identifier.&#10;رقم مميز لطلب الخدمة." sqref="A13"/>
    <x:dataValidation allowBlank="1" showInputMessage="1" promptTitle="Composite Key | المفتاح المركب" prompt="Region|Service|CustomerID|OrderType packed into one text field.&#10;أربعة حقول مجمعة داخل نص واحد." sqref="B13"/>
    <x:dataValidation allowBlank="1" showInputMessage="1" promptTitle="Account Reference | مرجع الحساب" prompt="Account identifier. Some rows are intentionally stored as numbers.&#10;معرّف الحساب، وبعض الصفوف مخزنة كأرقام بشكل مقصود." sqref="C13"/>
    <x:dataValidation allowBlank="1" showInputMessage="1" promptTitle="Start Date | تاريخ البداية" prompt="Order start date.&#10;تاريخ بدء الطلب." sqref="D13"/>
    <x:dataValidation allowBlank="1" showInputMessage="1" promptTitle="Due Date | تاريخ الاستحقاق" prompt="Committed due date.&#10;تاريخ الاستحقاق المتفق عليه." sqref="E13"/>
    <x:dataValidation allowBlank="1" showInputMessage="1" promptTitle="Close Date | تاريخ الإغلاق" prompt="Actual close date.&#10;تاريخ الإغلاق الفعلي." sqref="F13"/>
    <x:dataValidation allowBlank="1" showInputMessage="1" promptTitle="Priority | الأولوية" prompt="Operational priority code.&#10;رمز أولوية الطلب." sqref="G13"/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22" hidden="0" customWidth="1"/>
    <x:col min="4" max="4" width="18" hidden="0" customWidth="1"/>
    <x:col min="5" max="5" width="16" hidden="0" customWidth="1"/>
    <x:col min="6" max="6" width="14" hidden="0" customWidth="1"/>
    <x:col min="7" max="7" width="4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666" t="str">
        <x:v>BUSINESS CASE 02  •  ONE CELL. FOUR PIECES OF DATA.</x:v>
      </x:c>
      <x:c r="B1" s="666"/>
      <x:c r="C1" s="666"/>
      <x:c r="D1" s="666"/>
      <x:c r="E1" s="666"/>
      <x:c r="F1" s="666"/>
      <x:c r="G1" s="666"/>
      <x:c r="H1" s="666"/>
      <x:c r="I1" s="666"/>
      <x:c r="J1" s="666"/>
      <x:c r="K1" s="759"/>
      <x:c r="L1" s="759"/>
    </x:row>
    <x:row r="2">
      <x:c r="A2" s="666"/>
      <x:c r="B2" s="666"/>
      <x:c r="C2" s="666"/>
      <x:c r="D2" s="666"/>
      <x:c r="E2" s="666"/>
      <x:c r="F2" s="666"/>
      <x:c r="G2" s="666"/>
      <x:c r="H2" s="666"/>
      <x:c r="I2" s="666"/>
      <x:c r="J2" s="666"/>
      <x:c r="K2" s="759"/>
      <x:c r="L2" s="759"/>
    </x:row>
    <x:row r="3">
      <x:c r="A3" s="371" t="str">
        <x:v>المعلومة موجودة... بس محبوسة داخل نص واحد</x:v>
      </x:c>
      <x:c r="B3" s="371"/>
      <x:c r="C3" s="371"/>
      <x:c r="D3" s="371"/>
      <x:c r="E3" s="371"/>
      <x:c r="F3" s="371"/>
      <x:c r="G3" s="371"/>
      <x:c r="H3" s="371"/>
      <x:c r="I3" s="371"/>
      <x:c r="J3" s="371"/>
      <x:c r="K3" s="371"/>
      <x:c r="L3" s="371"/>
    </x:row>
    <x:row r="4" ht="6" customHeight="1">
      <x:c r="A4" s="355"/>
      <x:c r="B4" s="355"/>
      <x:c r="C4" s="355"/>
      <x:c r="D4" s="355"/>
      <x:c r="E4" s="355"/>
      <x:c r="F4" s="355"/>
      <x:c r="G4" s="355"/>
      <x:c r="H4" s="355"/>
      <x:c r="I4" s="355"/>
      <x:c r="J4" s="355"/>
      <x:c r="K4" s="355"/>
      <x:c r="L4" s="355"/>
    </x:row>
    <x:row r="5">
      <x:c r="A5" s="514" t="str">
        <x:v>YOUR MISSION  •  Parse the Composite Key into analysis-ready fields. Demo rows are solved; complete the highlighted practice area.</x:v>
      </x:c>
      <x:c r="B5" s="515"/>
      <x:c r="C5" s="515"/>
      <x:c r="D5" s="515"/>
      <x:c r="E5" s="515"/>
      <x:c r="F5" s="515"/>
      <x:c r="G5" s="515"/>
      <x:c r="H5" s="515"/>
      <x:c r="I5" s="515"/>
      <x:c r="J5" s="515"/>
      <x:c r="K5" s="515"/>
      <x:c r="L5" s="515"/>
    </x:row>
    <x:row r="6">
      <x:c r="A6" s="514"/>
      <x:c r="B6" s="515"/>
      <x:c r="C6" s="515"/>
      <x:c r="D6" s="515"/>
      <x:c r="E6" s="515"/>
      <x:c r="F6" s="515"/>
      <x:c r="G6" s="515"/>
      <x:c r="H6" s="515"/>
      <x:c r="I6" s="515"/>
      <x:c r="J6" s="515"/>
      <x:c r="K6" s="515"/>
      <x:c r="L6" s="515"/>
    </x:row>
    <x:row r="7" ht="24" customHeight="1">
      <x:c r="A7" s="1361" t="str">
        <x:v>المطلوب منك  •  فكّ المفتاح المركب إلى حقول واضحة. صفوف الـDemo جاهزة، والخلايا الصفراء عليك.</x:v>
      </x:c>
      <x:c r="B7" s="1361"/>
      <x:c r="C7" s="1361"/>
      <x:c r="D7" s="1361"/>
      <x:c r="E7" s="1361"/>
      <x:c r="F7" s="1361"/>
      <x:c r="G7" s="1361"/>
      <x:c r="H7" s="1361"/>
      <x:c r="I7" s="1361"/>
      <x:c r="J7" s="1361"/>
      <x:c r="K7" s="1361"/>
      <x:c r="L7" s="1362"/>
    </x:row>
    <x:row r="8" ht="24" customHeight="1">
      <x:c r="A8" s="1361"/>
      <x:c r="B8" s="1361"/>
      <x:c r="C8" s="1361"/>
      <x:c r="D8" s="1361"/>
      <x:c r="E8" s="1361"/>
      <x:c r="F8" s="1361"/>
      <x:c r="G8" s="1361"/>
      <x:c r="H8" s="1361"/>
      <x:c r="I8" s="1361"/>
      <x:c r="J8" s="1361"/>
      <x:c r="K8" s="1361"/>
      <x:c r="L8" s="1362"/>
    </x:row>
    <x:row r="9">
      <x:c r="A9" s="481"/>
      <x:c r="B9" s="482"/>
      <x:c r="C9" s="482"/>
      <x:c r="D9" s="482"/>
      <x:c r="E9" s="482"/>
      <x:c r="F9" s="483"/>
      <x:c r="G9" s="355"/>
      <x:c r="H9" s="481"/>
      <x:c r="I9" s="482"/>
      <x:c r="J9" s="483"/>
      <x:c r="K9" s="355"/>
      <x:c r="L9" s="355"/>
    </x:row>
    <x:row r="10" ht="27" customHeight="1">
      <x:c r="A10" s="569" t="str">
        <x:v>Composite Key</x:v>
      </x:c>
      <x:c r="B10" s="570" t="str">
        <x:v>Region?</x:v>
      </x:c>
      <x:c r="C10" s="570" t="str">
        <x:v>Service?</x:v>
      </x:c>
      <x:c r="D10" s="570" t="str">
        <x:v>Customer ID?</x:v>
      </x:c>
      <x:c r="E10" s="570" t="str">
        <x:v>Order Type?</x:v>
      </x:c>
      <x:c r="F10" s="572" t="str">
        <x:v>Manual Work</x:v>
      </x:c>
      <x:c r="G10" s="355"/>
      <x:c r="H10" s="781" t="str">
        <x:v>QUICK WIN  •  FIRST FIELD</x:v>
      </x:c>
      <x:c r="I10" s="782" cm="1">
        <x:f t="array" ref="I10:L10"/>
      </x:c>
      <x:c r="J10" s="783"/>
      <x:c r="K10" s="382"/>
      <x:c r="L10" s="382"/>
    </x:row>
    <x:row r="11" ht="27" customHeight="1">
      <x:c r="A11" s="582" t="str">
        <x:v>Amman|Fiber|C30091|ACT</x:v>
      </x:c>
      <x:c r="B11" s="772" t="str">
        <x:v>?</x:v>
      </x:c>
      <x:c r="C11" s="772" t="str">
        <x:v>?</x:v>
      </x:c>
      <x:c r="D11" s="772" t="str">
        <x:v>?</x:v>
      </x:c>
      <x:c r="E11" s="772" t="str">
        <x:v>?</x:v>
      </x:c>
      <x:c r="F11" s="744" t="str">
        <x:v>4 fields to extract</x:v>
      </x:c>
      <x:c r="G11" s="355"/>
      <x:c r="H11" s="788" t="str">
        <x:f>"=TEXTBEFORE(""Amman|Fiber|C30091|ACT"",""|"")  →  Amman"</x:f>
        <x:v>=TEXTBEFORE("Amman|Fiber|C30091|ACT","|")  →  Amman</x:v>
      </x:c>
      <x:c r="I11" s="788"/>
      <x:c r="J11" s="788"/>
      <x:c r="K11" s="788"/>
      <x:c r="L11" s="788"/>
    </x:row>
    <x:row r="12" ht="27" customHeight="1">
      <x:c r="A12" s="587" t="str">
        <x:v>Irbid|5G Home|C30092|MIG</x:v>
      </x:c>
      <x:c r="B12" s="773" t="str">
        <x:v>?</x:v>
      </x:c>
      <x:c r="C12" s="773" t="str">
        <x:v>?</x:v>
      </x:c>
      <x:c r="D12" s="773" t="str">
        <x:v>?</x:v>
      </x:c>
      <x:c r="E12" s="773" t="str">
        <x:v>?</x:v>
      </x:c>
      <x:c r="F12" s="746" t="str">
        <x:v>Repeat again</x:v>
      </x:c>
      <x:c r="G12" s="355"/>
      <x:c r="H12" s="788"/>
      <x:c r="I12" s="788"/>
      <x:c r="J12" s="788"/>
      <x:c r="K12" s="788"/>
      <x:c r="L12" s="788"/>
    </x:row>
    <x:row r="13" ht="27" customHeight="1">
      <x:c r="A13" s="769" t="str">
        <x:v>Zarqa|Mobile|C30093|UPG</x:v>
      </x:c>
      <x:c r="B13" s="774" t="str">
        <x:v>?</x:v>
      </x:c>
      <x:c r="C13" s="774" t="str">
        <x:v>?</x:v>
      </x:c>
      <x:c r="D13" s="774" t="str">
        <x:v>?</x:v>
      </x:c>
      <x:c r="E13" s="774" t="str">
        <x:v>?</x:v>
      </x:c>
      <x:c r="F13" s="771" t="str">
        <x:v>And again...</x:v>
      </x:c>
      <x:c r="G13" s="355"/>
      <x:c r="H13" s="355"/>
      <x:c r="I13" s="355"/>
      <x:c r="J13" s="355"/>
      <x:c r="K13" s="355"/>
      <x:c r="L13" s="355"/>
    </x:row>
    <x:row r="14">
      <x:c r="A14" s="659"/>
      <x:c r="B14" s="354"/>
      <x:c r="C14" s="354"/>
      <x:c r="D14" s="354"/>
      <x:c r="E14" s="354"/>
      <x:c r="F14" s="661"/>
      <x:c r="G14" s="355"/>
      <x:c r="H14" s="355"/>
      <x:c r="I14" s="355"/>
      <x:c r="J14" s="355"/>
      <x:c r="K14" s="355"/>
      <x:c r="L14" s="355"/>
    </x:row>
    <x:row r="15">
      <x:c r="A15" s="659"/>
      <x:c r="B15" s="354"/>
      <x:c r="C15" s="354"/>
      <x:c r="D15" s="354"/>
      <x:c r="E15" s="354"/>
      <x:c r="F15" s="661"/>
      <x:c r="G15" s="355"/>
      <x:c r="H15" s="355"/>
      <x:c r="I15" s="355"/>
      <x:c r="J15" s="355"/>
      <x:c r="K15" s="355"/>
      <x:c r="L15" s="355"/>
    </x:row>
    <x:row r="16" ht="27" customHeight="1">
      <x:c r="A16" s="847" t="str">
        <x:v>TEXTBEFORE
=TEXTBEFORE(text, delimiter, [instance_num])
Return what appears before a delimiter.</x:v>
      </x:c>
      <x:c r="B16" s="848"/>
      <x:c r="C16" s="848"/>
      <x:c r="D16" s="849"/>
      <x:c r="E16" s="856" t="str">
        <x:v>TEXTAFTER
=TEXTAFTER(text, delimiter, [instance_num])
Return what appears after a delimiter.</x:v>
      </x:c>
      <x:c r="F16" s="857"/>
      <x:c r="G16" s="858"/>
      <x:c r="H16" s="859"/>
      <x:c r="I16" s="810" t="str">
        <x:v>TEXTSPLIT
=TEXTSPLIT(text, col_delimiter, [row_delimiter])
Split one text value into multiple cells.</x:v>
      </x:c>
      <x:c r="J16" s="811"/>
      <x:c r="K16" s="811"/>
      <x:c r="L16" s="812"/>
    </x:row>
    <x:row r="17" ht="27" customHeight="1">
      <x:c r="A17" s="850"/>
      <x:c r="B17" s="851"/>
      <x:c r="C17" s="851"/>
      <x:c r="D17" s="852"/>
      <x:c r="E17" s="860"/>
      <x:c r="F17" s="861"/>
      <x:c r="G17" s="862"/>
      <x:c r="H17" s="863"/>
      <x:c r="I17" s="440"/>
      <x:c r="J17" s="441"/>
      <x:c r="K17" s="441"/>
      <x:c r="L17" s="442"/>
    </x:row>
    <x:row r="18" ht="27" customHeight="1">
      <x:c r="A18" s="853"/>
      <x:c r="B18" s="854"/>
      <x:c r="C18" s="854"/>
      <x:c r="D18" s="855"/>
      <x:c r="E18" s="864"/>
      <x:c r="F18" s="865"/>
      <x:c r="G18" s="866"/>
      <x:c r="H18" s="867"/>
      <x:c r="I18" s="813"/>
      <x:c r="J18" s="814"/>
      <x:c r="K18" s="814"/>
      <x:c r="L18" s="815"/>
    </x:row>
    <x:row r="19" ht="27" customHeight="1">
      <x:c r="A19" s="659"/>
      <x:c r="B19" s="354"/>
      <x:c r="C19" s="354"/>
      <x:c r="D19" s="354"/>
      <x:c r="E19" s="354"/>
      <x:c r="F19" s="661"/>
      <x:c r="G19" s="355"/>
      <x:c r="H19" s="355"/>
      <x:c r="I19" s="355"/>
      <x:c r="J19" s="355"/>
      <x:c r="K19" s="355"/>
      <x:c r="L19" s="355"/>
    </x:row>
    <x:row r="20" ht="27" customHeight="1">
      <x:c r="A20" s="870" t="str">
        <x:v>THINKING RULE  •  Delimiter = where the structure changes.  instance_num = which occurrence of that delimiter you care about.</x:v>
      </x:c>
      <x:c r="B20" s="871"/>
      <x:c r="C20" s="871"/>
      <x:c r="D20" s="871"/>
      <x:c r="E20" s="871"/>
      <x:c r="F20" s="872"/>
      <x:c r="G20" s="871"/>
      <x:c r="H20" s="871"/>
      <x:c r="I20" s="871"/>
      <x:c r="J20" s="871"/>
      <x:c r="K20" s="871"/>
      <x:c r="L20" s="871"/>
    </x:row>
    <x:row r="21">
      <x:c r="A21" s="659"/>
      <x:c r="B21" s="354"/>
      <x:c r="C21" s="354"/>
      <x:c r="D21" s="354"/>
      <x:c r="E21" s="354"/>
      <x:c r="F21" s="661"/>
      <x:c r="G21" s="355"/>
      <x:c r="H21" s="355"/>
      <x:c r="I21" s="355"/>
      <x:c r="J21" s="355"/>
      <x:c r="K21" s="355"/>
      <x:c r="L21" s="355"/>
    </x:row>
    <x:row r="22">
      <x:c r="A22" s="659"/>
      <x:c r="B22" s="354"/>
      <x:c r="C22" s="354"/>
      <x:c r="D22" s="354"/>
      <x:c r="E22" s="354"/>
      <x:c r="F22" s="661"/>
      <x:c r="G22" s="355"/>
      <x:c r="H22" s="355"/>
      <x:c r="I22" s="355"/>
      <x:c r="J22" s="355"/>
      <x:c r="K22" s="355"/>
      <x:c r="L22" s="355"/>
    </x:row>
    <x:row r="23" ht="22" customHeight="1">
      <x:c r="A23" s="569" t="str">
        <x:v>Composite Key</x:v>
      </x:c>
      <x:c r="B23" s="570" t="str">
        <x:v>Region</x:v>
      </x:c>
      <x:c r="C23" s="570" t="str">
        <x:v>After 1st |</x:v>
      </x:c>
      <x:c r="D23" s="570" t="str">
        <x:v>Service</x:v>
      </x:c>
      <x:c r="E23" s="570" t="str">
        <x:v>Customer ID</x:v>
      </x:c>
      <x:c r="F23" s="572" t="str">
        <x:v>Order Type</x:v>
      </x:c>
      <x:c r="G23" s="355"/>
      <x:c r="H23" s="889" t="str">
        <x:v>TEXTSPLIT  •  ONE FORMULA → FOUR FIELDS</x:v>
      </x:c>
      <x:c r="I23" s="889"/>
      <x:c r="J23" s="889"/>
      <x:c r="K23" s="889"/>
      <x:c r="L23" s="889"/>
    </x:row>
    <x:row r="24" ht="22" customHeight="1">
      <x:c r="A24" s="876" t="str">
        <x:v>Balqa|Fiber|C30001|UPG</x:v>
      </x:c>
      <x:c r="B24" s="879" t="str">
        <x:f>TEXTBEFORE(A24,"|")</x:f>
        <x:v>Balqa</x:v>
      </x:c>
      <x:c r="C24" s="879" t="str">
        <x:f>TEXTAFTER(A24,"|")</x:f>
        <x:v>Fiber|C30001|UPG</x:v>
      </x:c>
      <x:c r="D24" s="879" t="str">
        <x:f>TEXTBEFORE(TEXTAFTER(A24,"|"),"|")</x:f>
        <x:v>Fiber</x:v>
      </x:c>
      <x:c r="E24" s="879" t="str">
        <x:f>TEXTBEFORE(TEXTAFTER(A24,"|",2),"|")</x:f>
        <x:v>C30001</x:v>
      </x:c>
      <x:c r="F24" s="880" t="str">
        <x:f>TEXTAFTER(A24,"|",3)</x:f>
        <x:v>UPG</x:v>
      </x:c>
      <x:c r="G24" s="355"/>
      <x:c r="H24" s="355"/>
      <x:c r="I24" s="355"/>
      <x:c r="J24" s="355"/>
      <x:c r="K24" s="355"/>
      <x:c r="L24" s="355"/>
    </x:row>
    <x:row r="25" ht="22" customHeight="1">
      <x:c r="A25" s="599" t="str">
        <x:v>Irbid|5G Home|C30002|MIG</x:v>
      </x:c>
      <x:c r="B25" s="881" t="str">
        <x:f>TEXTBEFORE(A25,"|")</x:f>
        <x:v>Irbid</x:v>
      </x:c>
      <x:c r="C25" s="881" t="str">
        <x:f>TEXTAFTER(A25,"|")</x:f>
        <x:v>5G Home|C30002|MIG</x:v>
      </x:c>
      <x:c r="D25" s="881" t="str">
        <x:f>TEXTBEFORE(TEXTAFTER(A25,"|"),"|")</x:f>
        <x:v>5G Home</x:v>
      </x:c>
      <x:c r="E25" s="881" t="str">
        <x:f>TEXTBEFORE(TEXTAFTER(A25,"|",2),"|")</x:f>
        <x:v>C30002</x:v>
      </x:c>
      <x:c r="F25" s="882" t="str">
        <x:f>TEXTAFTER(A25,"|",3)</x:f>
        <x:v>MIG</x:v>
      </x:c>
      <x:c r="G25" s="355"/>
      <x:c r="H25" s="569" t="str">
        <x:v>Source</x:v>
      </x:c>
      <x:c r="I25" s="570" t="str">
        <x:v>Region</x:v>
      </x:c>
      <x:c r="J25" s="570" t="str">
        <x:v>Service</x:v>
      </x:c>
      <x:c r="K25" s="570" t="str">
        <x:v>Customer ID</x:v>
      </x:c>
      <x:c r="L25" s="572" t="str">
        <x:v>Order Type</x:v>
      </x:c>
    </x:row>
    <x:row r="26" ht="22" customHeight="1">
      <x:c r="A26" s="599" t="str">
        <x:v>Aqaba|Fiber|C30003|ACT</x:v>
      </x:c>
      <x:c r="B26" s="881" t="str">
        <x:f>TEXTBEFORE(A26,"|")</x:f>
        <x:v>Aqaba</x:v>
      </x:c>
      <x:c r="C26" s="881" t="str">
        <x:f>TEXTAFTER(A26,"|")</x:f>
        <x:v>Fiber|C30003|ACT</x:v>
      </x:c>
      <x:c r="D26" s="881" t="str">
        <x:f>TEXTBEFORE(TEXTAFTER(A26,"|"),"|")</x:f>
        <x:v>Fiber</x:v>
      </x:c>
      <x:c r="E26" s="881" t="str">
        <x:f>TEXTBEFORE(TEXTAFTER(A26,"|",2),"|")</x:f>
        <x:v>C30003</x:v>
      </x:c>
      <x:c r="F26" s="882" t="str">
        <x:f>TEXTAFTER(A26,"|",3)</x:f>
        <x:v>ACT</x:v>
      </x:c>
      <x:c r="G26" s="355"/>
      <x:c r="H26" s="355" t="str">
        <x:v>Irbid|Mobile|C30005|REN</x:v>
      </x:c>
      <x:c r="I26" s="899"/>
      <x:c r="J26" s="900"/>
      <x:c r="K26" s="900"/>
      <x:c r="L26" s="901"/>
    </x:row>
    <x:row r="27" ht="22" customHeight="1">
      <x:c r="A27" s="599" t="str">
        <x:v>Balqa|Mobile|C30004|UPG</x:v>
      </x:c>
      <x:c r="B27" s="885"/>
      <x:c r="C27" s="885"/>
      <x:c r="D27" s="885"/>
      <x:c r="E27" s="885"/>
      <x:c r="F27" s="886"/>
      <x:c r="G27" s="355"/>
      <x:c r="H27" s="355"/>
      <x:c r="I27" s="355"/>
      <x:c r="J27" s="355"/>
      <x:c r="K27" s="355"/>
      <x:c r="L27" s="355"/>
    </x:row>
    <x:row r="28" ht="22" customHeight="1">
      <x:c r="A28" s="599" t="str">
        <x:v>Irbid|Mobile|C30005|REN</x:v>
      </x:c>
      <x:c r="B28" s="885"/>
      <x:c r="C28" s="885"/>
      <x:c r="D28" s="885"/>
      <x:c r="E28" s="885"/>
      <x:c r="F28" s="886"/>
      <x:c r="G28" s="355"/>
      <x:c r="H28" s="620" t="str">
        <x:v>Build ONE formula in I26: =TEXTSPLIT(H26,"|")
The result should spill horizontally.</x:v>
      </x:c>
      <x:c r="I28" s="620"/>
      <x:c r="J28" s="620"/>
      <x:c r="K28" s="620"/>
      <x:c r="L28" s="620"/>
    </x:row>
    <x:row r="29" ht="22" customHeight="1">
      <x:c r="A29" s="599" t="str">
        <x:v>Irbid|5G Home|C30006|ACT</x:v>
      </x:c>
      <x:c r="B29" s="885"/>
      <x:c r="C29" s="885"/>
      <x:c r="D29" s="885"/>
      <x:c r="E29" s="885"/>
      <x:c r="F29" s="886"/>
      <x:c r="G29" s="355"/>
      <x:c r="H29" s="620"/>
      <x:c r="I29" s="620"/>
      <x:c r="J29" s="620"/>
      <x:c r="K29" s="620"/>
      <x:c r="L29" s="620"/>
    </x:row>
    <x:row r="30" ht="22" customHeight="1">
      <x:c r="A30" s="599" t="str">
        <x:v>Balqa|Mobile|C30007|UPG</x:v>
      </x:c>
      <x:c r="B30" s="885"/>
      <x:c r="C30" s="885"/>
      <x:c r="D30" s="885"/>
      <x:c r="E30" s="885"/>
      <x:c r="F30" s="886"/>
      <x:c r="G30" s="355"/>
      <x:c r="H30" s="355"/>
      <x:c r="I30" s="355"/>
      <x:c r="J30" s="355"/>
      <x:c r="K30" s="355"/>
      <x:c r="L30" s="355"/>
    </x:row>
    <x:row r="31" ht="22" customHeight="1">
      <x:c r="A31" s="599" t="str">
        <x:v>Balqa|5G Home|C30008|ACT</x:v>
      </x:c>
      <x:c r="B31" s="885"/>
      <x:c r="C31" s="885"/>
      <x:c r="D31" s="885"/>
      <x:c r="E31" s="885"/>
      <x:c r="F31" s="886"/>
      <x:c r="G31" s="355"/>
      <x:c r="H31" s="355"/>
      <x:c r="I31" s="355"/>
      <x:c r="J31" s="355"/>
      <x:c r="K31" s="355"/>
      <x:c r="L31" s="355"/>
    </x:row>
    <x:row r="32" ht="22" customHeight="1">
      <x:c r="A32" s="599" t="str">
        <x:v>Zarqa|Mobile|C30009|ACT</x:v>
      </x:c>
      <x:c r="B32" s="885"/>
      <x:c r="C32" s="885"/>
      <x:c r="D32" s="885"/>
      <x:c r="E32" s="885"/>
      <x:c r="F32" s="886"/>
      <x:c r="G32" s="355"/>
      <x:c r="H32" s="355"/>
      <x:c r="I32" s="355"/>
      <x:c r="J32" s="355"/>
      <x:c r="K32" s="355"/>
      <x:c r="L32" s="355"/>
    </x:row>
    <x:row r="33" ht="22" customHeight="1">
      <x:c r="A33" s="599" t="str">
        <x:v>Irbid|Mobile|C30010|MIG</x:v>
      </x:c>
      <x:c r="B33" s="885"/>
      <x:c r="C33" s="885"/>
      <x:c r="D33" s="885"/>
      <x:c r="E33" s="885"/>
      <x:c r="F33" s="886"/>
      <x:c r="G33" s="355"/>
      <x:c r="H33" s="355"/>
      <x:c r="I33" s="355"/>
      <x:c r="J33" s="355"/>
      <x:c r="K33" s="355"/>
      <x:c r="L33" s="355"/>
    </x:row>
    <x:row r="34" ht="22" customHeight="1">
      <x:c r="A34" s="599" t="str">
        <x:v>Balqa|Enterprise Data|C30011|REN</x:v>
      </x:c>
      <x:c r="B34" s="885"/>
      <x:c r="C34" s="885"/>
      <x:c r="D34" s="885"/>
      <x:c r="E34" s="885"/>
      <x:c r="F34" s="886"/>
      <x:c r="G34" s="355"/>
      <x:c r="H34" s="355"/>
      <x:c r="I34" s="355"/>
      <x:c r="J34" s="355"/>
      <x:c r="K34" s="355"/>
      <x:c r="L34" s="355"/>
    </x:row>
    <x:row r="35" ht="22" customHeight="1">
      <x:c r="A35" s="599" t="str">
        <x:v>Amman|5G Home|C30012|ACT</x:v>
      </x:c>
      <x:c r="B35" s="885"/>
      <x:c r="C35" s="885"/>
      <x:c r="D35" s="885"/>
      <x:c r="E35" s="885"/>
      <x:c r="F35" s="886"/>
      <x:c r="G35" s="355"/>
      <x:c r="H35" s="355"/>
      <x:c r="I35" s="355"/>
      <x:c r="J35" s="355"/>
      <x:c r="K35" s="355"/>
      <x:c r="L35" s="355"/>
    </x:row>
    <x:row r="36" ht="22" customHeight="1">
      <x:c r="A36" s="599" t="str">
        <x:v>Balqa|Mobile|C30013|MIG</x:v>
      </x:c>
      <x:c r="B36" s="885"/>
      <x:c r="C36" s="885"/>
      <x:c r="D36" s="885"/>
      <x:c r="E36" s="885"/>
      <x:c r="F36" s="886"/>
      <x:c r="G36" s="355"/>
      <x:c r="H36" s="355"/>
      <x:c r="I36" s="355"/>
      <x:c r="J36" s="355"/>
      <x:c r="K36" s="355"/>
      <x:c r="L36" s="355"/>
    </x:row>
    <x:row r="37" ht="22" customHeight="1">
      <x:c r="A37" s="599" t="str">
        <x:v>Amman|Enterprise Data|C30014|ACT</x:v>
      </x:c>
      <x:c r="B37" s="885"/>
      <x:c r="C37" s="885"/>
      <x:c r="D37" s="885"/>
      <x:c r="E37" s="885"/>
      <x:c r="F37" s="886"/>
      <x:c r="G37" s="355"/>
      <x:c r="H37" s="355"/>
      <x:c r="I37" s="355"/>
      <x:c r="J37" s="355"/>
      <x:c r="K37" s="355"/>
      <x:c r="L37" s="355"/>
    </x:row>
    <x:row r="38" ht="22" customHeight="1">
      <x:c r="A38" s="599" t="str">
        <x:v>Balqa|Fiber|C30015|MIG</x:v>
      </x:c>
      <x:c r="B38" s="885"/>
      <x:c r="C38" s="885"/>
      <x:c r="D38" s="885"/>
      <x:c r="E38" s="885"/>
      <x:c r="F38" s="886"/>
      <x:c r="G38" s="355"/>
      <x:c r="H38" s="355"/>
      <x:c r="I38" s="355"/>
      <x:c r="J38" s="355"/>
      <x:c r="K38" s="355"/>
      <x:c r="L38" s="355"/>
    </x:row>
    <x:row r="39" ht="22" customHeight="1">
      <x:c r="A39" s="599" t="str">
        <x:v>Balqa|Fiber|C30016|REN</x:v>
      </x:c>
      <x:c r="B39" s="885"/>
      <x:c r="C39" s="885"/>
      <x:c r="D39" s="885"/>
      <x:c r="E39" s="885"/>
      <x:c r="F39" s="886"/>
      <x:c r="G39" s="355"/>
      <x:c r="H39" s="355"/>
      <x:c r="I39" s="355"/>
      <x:c r="J39" s="355"/>
      <x:c r="K39" s="355"/>
      <x:c r="L39" s="355"/>
    </x:row>
    <x:row r="40" ht="22" customHeight="1">
      <x:c r="A40" s="599" t="str">
        <x:v>Zarqa|Mobile|C30017|UPG</x:v>
      </x:c>
      <x:c r="B40" s="885"/>
      <x:c r="C40" s="885"/>
      <x:c r="D40" s="885"/>
      <x:c r="E40" s="885"/>
      <x:c r="F40" s="886"/>
      <x:c r="G40" s="355"/>
      <x:c r="H40" s="355"/>
      <x:c r="I40" s="355"/>
      <x:c r="J40" s="355"/>
      <x:c r="K40" s="355"/>
      <x:c r="L40" s="355"/>
    </x:row>
    <x:row r="41" ht="22" customHeight="1">
      <x:c r="A41" s="601" t="str">
        <x:v>Irbid|Fiber|C30018|MIG</x:v>
      </x:c>
      <x:c r="B41" s="887"/>
      <x:c r="C41" s="887"/>
      <x:c r="D41" s="887"/>
      <x:c r="E41" s="887"/>
      <x:c r="F41" s="888"/>
      <x:c r="G41" s="355"/>
      <x:c r="H41" s="355"/>
      <x:c r="I41" s="355"/>
      <x:c r="J41" s="355"/>
      <x:c r="K41" s="355"/>
      <x:c r="L41" s="355"/>
    </x:row>
    <x:row r="42">
      <x:c r="A42" s="355"/>
      <x:c r="B42" s="355"/>
      <x:c r="C42" s="355"/>
      <x:c r="D42" s="355"/>
      <x:c r="E42" s="355"/>
      <x:c r="F42" s="355"/>
      <x:c r="G42" s="355"/>
      <x:c r="H42" s="355"/>
      <x:c r="I42" s="355"/>
      <x:c r="J42" s="355"/>
      <x:c r="K42" s="355"/>
      <x:c r="L42" s="355"/>
    </x:row>
    <x:row r="43">
      <x:c r="A43" s="355"/>
      <x:c r="B43" s="355"/>
      <x:c r="C43" s="355"/>
      <x:c r="D43" s="355"/>
      <x:c r="E43" s="355"/>
      <x:c r="F43" s="355"/>
      <x:c r="G43" s="355"/>
      <x:c r="H43" s="355"/>
      <x:c r="I43" s="355"/>
      <x:c r="J43" s="355"/>
      <x:c r="K43" s="355"/>
      <x:c r="L43" s="355"/>
    </x:row>
    <x:row r="44">
      <x:c r="A44" s="355"/>
      <x:c r="B44" s="355"/>
      <x:c r="C44" s="355"/>
      <x:c r="D44" s="355"/>
      <x:c r="E44" s="355"/>
      <x:c r="F44" s="355"/>
      <x:c r="G44" s="355"/>
      <x:c r="H44" s="355"/>
      <x:c r="I44" s="355"/>
      <x:c r="J44" s="355"/>
      <x:c r="K44" s="355"/>
      <x:c r="L44" s="355"/>
    </x:row>
    <x:row r="45">
      <x:c r="A45" s="355"/>
      <x:c r="B45" s="355"/>
      <x:c r="C45" s="355"/>
      <x:c r="D45" s="355"/>
      <x:c r="E45" s="355"/>
      <x:c r="F45" s="355"/>
      <x:c r="G45" s="355"/>
      <x:c r="H45" s="355"/>
      <x:c r="I45" s="355"/>
      <x:c r="J45" s="355"/>
      <x:c r="K45" s="355"/>
      <x:c r="L45" s="355"/>
    </x:row>
    <x:row r="46">
      <x:c r="A46" s="355"/>
      <x:c r="B46" s="355"/>
      <x:c r="C46" s="355"/>
      <x:c r="D46" s="355"/>
      <x:c r="E46" s="355"/>
      <x:c r="F46" s="355"/>
      <x:c r="G46" s="355"/>
      <x:c r="H46" s="355"/>
      <x:c r="I46" s="355"/>
      <x:c r="J46" s="355"/>
      <x:c r="K46" s="355"/>
      <x:c r="L46" s="355"/>
    </x:row>
    <x:row r="47">
      <x:c r="A47" s="355"/>
      <x:c r="B47" s="355"/>
      <x:c r="C47" s="355"/>
      <x:c r="D47" s="355"/>
      <x:c r="E47" s="355"/>
      <x:c r="F47" s="355"/>
      <x:c r="G47" s="355"/>
      <x:c r="H47" s="355"/>
      <x:c r="I47" s="355"/>
      <x:c r="J47" s="355"/>
      <x:c r="K47" s="355"/>
      <x:c r="L47" s="355"/>
    </x:row>
    <x:row r="48">
      <x:c r="A48" s="355"/>
      <x:c r="B48" s="355"/>
      <x:c r="C48" s="355"/>
      <x:c r="D48" s="355"/>
      <x:c r="E48" s="355"/>
      <x:c r="F48" s="355"/>
      <x:c r="G48" s="355"/>
      <x:c r="H48" s="355"/>
      <x:c r="I48" s="355"/>
      <x:c r="J48" s="355"/>
      <x:c r="K48" s="355"/>
      <x:c r="L48" s="355"/>
    </x:row>
    <x:row r="49">
      <x:c r="A49" s="355"/>
      <x:c r="B49" s="355"/>
      <x:c r="C49" s="355"/>
      <x:c r="D49" s="355"/>
      <x:c r="E49" s="355"/>
      <x:c r="F49" s="355"/>
      <x:c r="G49" s="355"/>
      <x:c r="H49" s="355"/>
      <x:c r="I49" s="355"/>
      <x:c r="J49" s="355"/>
      <x:c r="K49" s="355"/>
      <x:c r="L49" s="355"/>
    </x:row>
    <x:row r="50">
      <x:c r="A50" s="355"/>
      <x:c r="B50" s="355"/>
      <x:c r="C50" s="355"/>
      <x:c r="D50" s="355"/>
      <x:c r="E50" s="355"/>
      <x:c r="F50" s="355"/>
      <x:c r="G50" s="355"/>
      <x:c r="H50" s="355"/>
      <x:c r="I50" s="355"/>
      <x:c r="J50" s="355"/>
      <x:c r="K50" s="355"/>
      <x:c r="L50" s="355"/>
    </x:row>
    <x:row r="51">
      <x:c r="A51" s="355"/>
      <x:c r="B51" s="355"/>
      <x:c r="C51" s="355"/>
      <x:c r="D51" s="355"/>
      <x:c r="E51" s="355"/>
      <x:c r="F51" s="355"/>
      <x:c r="G51" s="355"/>
      <x:c r="H51" s="355"/>
      <x:c r="I51" s="355"/>
      <x:c r="J51" s="355"/>
      <x:c r="K51" s="355"/>
      <x:c r="L51" s="355"/>
    </x:row>
    <x:row r="52">
      <x:c r="A52" s="355"/>
      <x:c r="B52" s="355"/>
      <x:c r="C52" s="355"/>
      <x:c r="D52" s="355"/>
      <x:c r="E52" s="355"/>
      <x:c r="F52" s="355"/>
      <x:c r="G52" s="355"/>
      <x:c r="H52" s="355"/>
      <x:c r="I52" s="355"/>
      <x:c r="J52" s="355"/>
      <x:c r="K52" s="355"/>
      <x:c r="L52" s="355"/>
    </x:row>
  </x:sheetData>
  <x:mergeCells>
    <x:mergeCell ref="A1:L2"/>
    <x:mergeCell ref="A3:L3"/>
    <x:mergeCell ref="A5:L6"/>
    <x:mergeCell ref="A7:L8"/>
    <x:mergeCell ref="H10:L10"/>
    <x:mergeCell ref="H11:L12"/>
    <x:mergeCell ref="A16:D18"/>
    <x:mergeCell ref="E16:H18"/>
    <x:mergeCell ref="I16:L18"/>
    <x:mergeCell ref="A20:L20"/>
    <x:mergeCell ref="H23:L23"/>
    <x:mergeCell ref="H28:L29"/>
  </x:mergeCells>
  <x:dataValidations count="6">
    <x:dataValidation allowBlank="1" showInputMessage="1" promptTitle="Composite Key | المفتاح المركب" prompt="Structured text separated by |.&#10;نص منظم يفصل بين حقوله الرمز |." sqref="A23"/>
    <x:dataValidation allowBlank="1" showInputMessage="1" promptTitle="Region | المنطقة" prompt="Extract the first field.&#10;استخرج أول حقل." sqref="B23"/>
    <x:dataValidation allowBlank="1" showInputMessage="1" promptTitle="After 1st | | بعد أول فاصل" prompt="Return everything after the first delimiter.&#10;أرجع كل ما بعد أول فاصل." sqref="C23"/>
    <x:dataValidation allowBlank="1" showInputMessage="1" promptTitle="Service | الخدمة" prompt="Extract the second field.&#10;استخرج الحقل الثاني." sqref="D23"/>
    <x:dataValidation allowBlank="1" showInputMessage="1" promptTitle="Customer ID | رقم العميل" prompt="Extract the third field.&#10;استخرج الحقل الثالث." sqref="E23"/>
    <x:dataValidation allowBlank="1" showInputMessage="1" promptTitle="Order Type | نوع الطلب" prompt="Extract the fourth field.&#10;استخرج الحقل الرابع." sqref="F23"/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3" hidden="0" customWidth="1"/>
    <x:col min="3" max="3" width="13" hidden="0" customWidth="1"/>
    <x:col min="4" max="4" width="15" hidden="0" customWidth="1"/>
    <x:col min="5" max="5" width="20" hidden="0" customWidth="1"/>
    <x:col min="6" max="6" width="4" hidden="0" customWidth="1"/>
    <x:col min="7" max="7" width="28" hidden="0" customWidth="1"/>
    <x:col min="8" max="8" width="28" hidden="0" customWidth="1"/>
  </x:cols>
  <x:sheetData>
    <x:row r="1">
      <x:c r="A1" s="666" t="str">
        <x:v>BUSINESS CASE 03  •  IT LOOKS LIKE AN ID. IS IT?</x:v>
      </x:c>
      <x:c r="B1" s="666"/>
      <x:c r="C1" s="666"/>
      <x:c r="D1" s="666"/>
      <x:c r="E1" s="666"/>
      <x:c r="F1" s="666"/>
      <x:c r="G1" s="666"/>
      <x:c r="H1" s="666"/>
    </x:row>
    <x:row r="2">
      <x:c r="A2" s="666"/>
      <x:c r="B2" s="666"/>
      <x:c r="C2" s="666"/>
      <x:c r="D2" s="666"/>
      <x:c r="E2" s="666"/>
      <x:c r="F2" s="666"/>
      <x:c r="G2" s="666"/>
      <x:c r="H2" s="666"/>
    </x:row>
    <x:row r="3">
      <x:c r="A3" s="371" t="str">
        <x:v>شكلها ID... لكن Excel شايف بعضها Text وبعضها Number</x:v>
      </x:c>
      <x:c r="B3" s="371"/>
      <x:c r="C3" s="371"/>
      <x:c r="D3" s="371"/>
      <x:c r="E3" s="371"/>
      <x:c r="F3" s="371"/>
      <x:c r="G3" s="371"/>
      <x:c r="H3" s="371"/>
    </x:row>
    <x:row r="4" ht="6" customHeight="1">
      <x:c r="A4" s="355"/>
      <x:c r="B4" s="355"/>
      <x:c r="C4" s="355"/>
      <x:c r="D4" s="355"/>
      <x:c r="E4" s="355"/>
      <x:c r="F4" s="355"/>
      <x:c r="G4" s="355"/>
      <x:c r="H4" s="355"/>
    </x:row>
    <x:row r="5">
      <x:c r="A5" s="514" t="str">
        <x:v>YOUR MISSION  •  Detect data-type inconsistencies before they break lookups, joins or reports. Complete the highlighted checks.</x:v>
      </x:c>
      <x:c r="B5" s="515"/>
      <x:c r="C5" s="515"/>
      <x:c r="D5" s="515"/>
      <x:c r="E5" s="515"/>
      <x:c r="F5" s="515"/>
      <x:c r="G5" s="515"/>
      <x:c r="H5" s="515"/>
    </x:row>
    <x:row r="6">
      <x:c r="A6" s="514"/>
      <x:c r="B6" s="515"/>
      <x:c r="C6" s="515"/>
      <x:c r="D6" s="515"/>
      <x:c r="E6" s="515"/>
      <x:c r="F6" s="515"/>
      <x:c r="G6" s="515"/>
      <x:c r="H6" s="515"/>
    </x:row>
    <x:row r="7" ht="24" customHeight="1">
      <x:c r="A7" s="1361" t="str">
        <x:v>المطلوب منك  •  اكشف اختلاف نوع البيانات قبل ما يسبب مشاكل بالبحث أو الربط أو التقارير.</x:v>
      </x:c>
      <x:c r="B7" s="1361"/>
      <x:c r="C7" s="1361"/>
      <x:c r="D7" s="1361"/>
      <x:c r="E7" s="1361"/>
      <x:c r="F7" s="1361"/>
      <x:c r="G7" s="1361"/>
      <x:c r="H7" s="1362"/>
    </x:row>
    <x:row r="8" ht="24" customHeight="1">
      <x:c r="A8" s="1361"/>
      <x:c r="B8" s="1361"/>
      <x:c r="C8" s="1361"/>
      <x:c r="D8" s="1361"/>
      <x:c r="E8" s="1361"/>
      <x:c r="F8" s="1361"/>
      <x:c r="G8" s="1361"/>
      <x:c r="H8" s="1362"/>
    </x:row>
    <x:row r="9">
      <x:c r="A9" s="481"/>
      <x:c r="B9" s="482"/>
      <x:c r="C9" s="482"/>
      <x:c r="D9" s="482"/>
      <x:c r="E9" s="483"/>
      <x:c r="F9" s="355"/>
      <x:c r="G9" s="355"/>
      <x:c r="H9" s="355"/>
    </x:row>
    <x:row r="10">
      <x:c r="A10" s="569" t="str">
        <x:v>Order ID</x:v>
      </x:c>
      <x:c r="B10" s="570" t="str">
        <x:v>Account Reference</x:v>
      </x:c>
      <x:c r="C10" s="570" t="str">
        <x:v>What You See</x:v>
      </x:c>
      <x:c r="D10" s="570" t="str">
        <x:v>What Excel Sees</x:v>
      </x:c>
      <x:c r="E10" s="572" t="str">
        <x:v>Risk</x:v>
      </x:c>
      <x:c r="F10" s="355"/>
      <x:c r="G10" s="382" t="str">
        <x:v>QUICK WIN</x:v>
      </x:c>
      <x:c r="H10" s="382"/>
    </x:row>
    <x:row r="11">
      <x:c r="A11" s="582" t="str">
        <x:v>ORD-A</x:v>
      </x:c>
      <x:c r="B11" s="583" t="str">
        <x:v>ACC-77017</x:v>
      </x:c>
      <x:c r="C11" s="583" t="str">
        <x:v>Looks like an ID</x:v>
      </x:c>
      <x:c r="D11" s="583" t="str">
        <x:v>Text</x:v>
      </x:c>
      <x:c r="E11" s="744" t="str">
        <x:v>Low</x:v>
      </x:c>
      <x:c r="F11" s="355"/>
      <x:c r="G11" s="788" t="str">
        <x:f>"=ISTEXT(66272)  →  FALSE
=ISNONTEXT(66272)  →  TRUE"</x:f>
        <x:v>=ISTEXT(66272)  →  FALSE
=ISNONTEXT(66272)  →  TRUE</x:v>
      </x:c>
      <x:c r="H11" s="788"/>
    </x:row>
    <x:row r="12">
      <x:c r="A12" s="587" t="str">
        <x:v>ORD-B</x:v>
      </x:c>
      <x:c r="B12" s="588" t="n">
        <x:v>66272</x:v>
      </x:c>
      <x:c r="C12" s="588" t="str">
        <x:v>Looks like an ID</x:v>
      </x:c>
      <x:c r="D12" s="773" t="str">
        <x:v>Number</x:v>
      </x:c>
      <x:c r="E12" s="904" t="str">
        <x:v>Hidden type mismatch</x:v>
      </x:c>
      <x:c r="F12" s="355"/>
      <x:c r="G12" s="788"/>
      <x:c r="H12" s="788"/>
    </x:row>
    <x:row r="13">
      <x:c r="A13" s="587" t="str">
        <x:v>ORD-C</x:v>
      </x:c>
      <x:c r="B13" s="588" t="str">
        <x:v>ACC-58193</x:v>
      </x:c>
      <x:c r="C13" s="588" t="str">
        <x:v>Looks like an ID</x:v>
      </x:c>
      <x:c r="D13" s="588" t="str">
        <x:v>Text</x:v>
      </x:c>
      <x:c r="E13" s="746" t="str">
        <x:v>Low</x:v>
      </x:c>
      <x:c r="F13" s="355"/>
      <x:c r="G13" s="355"/>
      <x:c r="H13" s="355"/>
    </x:row>
    <x:row r="14">
      <x:c r="A14" s="587" t="str">
        <x:v>ORD-D</x:v>
      </x:c>
      <x:c r="B14" s="588" t="n">
        <x:v>33507</x:v>
      </x:c>
      <x:c r="C14" s="588" t="str">
        <x:v>Looks like an ID</x:v>
      </x:c>
      <x:c r="D14" s="773" t="str">
        <x:v>Number</x:v>
      </x:c>
      <x:c r="E14" s="904" t="str">
        <x:v>Hidden type mismatch</x:v>
      </x:c>
      <x:c r="F14" s="355"/>
      <x:c r="G14" s="868" t="str">
        <x:v>Business rule:
IF the Account Reference is text → Valid Text ID
Otherwise → Review Type</x:v>
      </x:c>
      <x:c r="H14" s="868"/>
    </x:row>
    <x:row r="15">
      <x:c r="A15" s="769" t="str">
        <x:v>ORD-E</x:v>
      </x:c>
      <x:c r="B15" s="770" t="str">
        <x:v>ACC-83899</x:v>
      </x:c>
      <x:c r="C15" s="770" t="str">
        <x:v>Looks like an ID</x:v>
      </x:c>
      <x:c r="D15" s="770" t="str">
        <x:v>Text</x:v>
      </x:c>
      <x:c r="E15" s="771" t="str">
        <x:v>Low</x:v>
      </x:c>
      <x:c r="F15" s="355"/>
      <x:c r="G15" s="868"/>
      <x:c r="H15" s="868"/>
    </x:row>
    <x:row r="16">
      <x:c r="A16" s="659"/>
      <x:c r="B16" s="354"/>
      <x:c r="C16" s="354"/>
      <x:c r="D16" s="354"/>
      <x:c r="E16" s="661"/>
      <x:c r="F16" s="355"/>
      <x:c r="G16" s="355"/>
      <x:c r="H16" s="355"/>
    </x:row>
    <x:row r="17">
      <x:c r="A17" s="659"/>
      <x:c r="B17" s="354"/>
      <x:c r="C17" s="354"/>
      <x:c r="D17" s="354"/>
      <x:c r="E17" s="661"/>
      <x:c r="F17" s="355"/>
      <x:c r="G17" s="355"/>
      <x:c r="H17" s="355"/>
    </x:row>
    <x:row r="18">
      <x:c r="A18" s="847" t="str">
        <x:v>ISTEXT(value)
Returns TRUE only when Excel stores the value as text.
Business use: validate IDs, labels, imported codes.</x:v>
      </x:c>
      <x:c r="B18" s="848"/>
      <x:c r="C18" s="848"/>
      <x:c r="D18" s="849"/>
      <x:c r="E18" s="946" t="str">
        <x:v>ISNONTEXT(value)
Returns TRUE for anything that is not text.
Important: numbers, dates and blanks are all non-text.</x:v>
      </x:c>
      <x:c r="F18" s="858"/>
      <x:c r="G18" s="858"/>
      <x:c r="H18" s="859"/>
    </x:row>
    <x:row r="19">
      <x:c r="A19" s="850"/>
      <x:c r="B19" s="851"/>
      <x:c r="C19" s="851"/>
      <x:c r="D19" s="852"/>
      <x:c r="E19" s="947"/>
      <x:c r="F19" s="862"/>
      <x:c r="G19" s="862"/>
      <x:c r="H19" s="863"/>
    </x:row>
    <x:row r="20">
      <x:c r="A20" s="853"/>
      <x:c r="B20" s="854"/>
      <x:c r="C20" s="854"/>
      <x:c r="D20" s="855"/>
      <x:c r="E20" s="948"/>
      <x:c r="F20" s="866"/>
      <x:c r="G20" s="866"/>
      <x:c r="H20" s="867"/>
    </x:row>
    <x:row r="21">
      <x:c r="A21" s="659"/>
      <x:c r="B21" s="354"/>
      <x:c r="C21" s="354"/>
      <x:c r="D21" s="354"/>
      <x:c r="E21" s="661"/>
      <x:c r="F21" s="355"/>
      <x:c r="G21" s="355"/>
      <x:c r="H21" s="355"/>
    </x:row>
    <x:row r="22">
      <x:c r="A22" s="659"/>
      <x:c r="B22" s="354"/>
      <x:c r="C22" s="354"/>
      <x:c r="D22" s="354"/>
      <x:c r="E22" s="661"/>
      <x:c r="F22" s="355"/>
      <x:c r="G22" s="355"/>
      <x:c r="H22" s="355"/>
    </x:row>
    <x:row r="23" ht="22" customHeight="1">
      <x:c r="A23" s="569" t="str">
        <x:v>Order ID</x:v>
      </x:c>
      <x:c r="B23" s="570" t="str">
        <x:v>Account Reference</x:v>
      </x:c>
      <x:c r="C23" s="570" t="str">
        <x:v>ISTEXT</x:v>
      </x:c>
      <x:c r="D23" s="570" t="str">
        <x:v>ISNONTEXT</x:v>
      </x:c>
      <x:c r="E23" s="572" t="str">
        <x:v>Quality Flag</x:v>
      </x:c>
      <x:c r="F23" s="355"/>
      <x:c r="G23" s="355"/>
      <x:c r="H23" s="355"/>
    </x:row>
    <x:row r="24" ht="22" customHeight="1">
      <x:c r="A24" s="582" t="str">
        <x:v>ORD-0001</x:v>
      </x:c>
      <x:c r="B24" s="583" t="str">
        <x:v>ACC-77017</x:v>
      </x:c>
      <x:c r="C24" s="883" t="b">
        <x:f>ISTEXT(B24)</x:f>
        <x:v>1</x:v>
      </x:c>
      <x:c r="D24" s="883" t="b">
        <x:f>ISNONTEXT(B24)</x:f>
        <x:v>0</x:v>
      </x:c>
      <x:c r="E24" s="884" t="str">
        <x:f>IF(ISTEXT(B24),"Valid Text ID","Review Type")</x:f>
        <x:v>Valid Text ID</x:v>
      </x:c>
      <x:c r="F24" s="355"/>
      <x:c r="G24" s="355"/>
      <x:c r="H24" s="355"/>
    </x:row>
    <x:row r="25" ht="22" customHeight="1">
      <x:c r="A25" s="587" t="str">
        <x:v>ORD-0002</x:v>
      </x:c>
      <x:c r="B25" s="588" t="str">
        <x:v>ACC-50654</x:v>
      </x:c>
      <x:c r="C25" s="956" t="b">
        <x:f>ISTEXT(B25)</x:f>
        <x:v>1</x:v>
      </x:c>
      <x:c r="D25" s="956" t="b">
        <x:f>ISNONTEXT(B25)</x:f>
        <x:v>0</x:v>
      </x:c>
      <x:c r="E25" s="957" t="str">
        <x:f>IF(ISTEXT(B25),"Valid Text ID","Review Type")</x:f>
        <x:v>Valid Text ID</x:v>
      </x:c>
      <x:c r="F25" s="355"/>
      <x:c r="G25" s="355"/>
      <x:c r="H25" s="355"/>
    </x:row>
    <x:row r="26" ht="22" customHeight="1">
      <x:c r="A26" s="587" t="str">
        <x:v>ORD-0005</x:v>
      </x:c>
      <x:c r="B26" s="588" t="str">
        <x:v>ACC-31884</x:v>
      </x:c>
      <x:c r="C26" s="956" t="b">
        <x:f>ISTEXT(B26)</x:f>
        <x:v>1</x:v>
      </x:c>
      <x:c r="D26" s="956" t="b">
        <x:f>ISNONTEXT(B26)</x:f>
        <x:v>0</x:v>
      </x:c>
      <x:c r="E26" s="957" t="str">
        <x:f>IF(ISTEXT(B26),"Valid Text ID","Review Type")</x:f>
        <x:v>Valid Text ID</x:v>
      </x:c>
      <x:c r="F26" s="355"/>
      <x:c r="G26" s="355"/>
      <x:c r="H26" s="355"/>
    </x:row>
    <x:row r="27" ht="22" customHeight="1">
      <x:c r="A27" s="587" t="str">
        <x:v>ORD-0006</x:v>
      </x:c>
      <x:c r="B27" s="588" t="n">
        <x:v>66272</x:v>
      </x:c>
      <x:c r="C27" s="958"/>
      <x:c r="D27" s="958"/>
      <x:c r="E27" s="959"/>
      <x:c r="F27" s="355"/>
      <x:c r="G27" s="355"/>
      <x:c r="H27" s="355"/>
    </x:row>
    <x:row r="28" ht="22" customHeight="1">
      <x:c r="A28" s="587" t="str">
        <x:v>ORD-0008</x:v>
      </x:c>
      <x:c r="B28" s="588" t="str">
        <x:v>ACC-58193</x:v>
      </x:c>
      <x:c r="C28" s="958"/>
      <x:c r="D28" s="958"/>
      <x:c r="E28" s="959"/>
      <x:c r="F28" s="355"/>
      <x:c r="G28" s="355"/>
      <x:c r="H28" s="355"/>
    </x:row>
    <x:row r="29" ht="22" customHeight="1">
      <x:c r="A29" s="591" t="str">
        <x:v>ORD-0011</x:v>
      </x:c>
      <x:c r="B29" s="579" t="str">
        <x:v>ACC-51934</x:v>
      </x:c>
      <x:c r="C29" s="960"/>
      <x:c r="D29" s="960"/>
      <x:c r="E29" s="961"/>
      <x:c r="F29" s="355"/>
      <x:c r="G29" s="355"/>
      <x:c r="H29" s="355"/>
    </x:row>
    <x:row r="30" ht="22" customHeight="1">
      <x:c r="A30" s="599" t="str">
        <x:v>ORD-0012</x:v>
      </x:c>
      <x:c r="B30" s="600" t="n">
        <x:v>33507</x:v>
      </x:c>
      <x:c r="C30" s="885"/>
      <x:c r="D30" s="885"/>
      <x:c r="E30" s="886"/>
      <x:c r="F30" s="355"/>
      <x:c r="G30" s="355"/>
      <x:c r="H30" s="355"/>
    </x:row>
    <x:row r="31" ht="22" customHeight="1">
      <x:c r="A31" s="599" t="str">
        <x:v>ORD-0014</x:v>
      </x:c>
      <x:c r="B31" s="600" t="str">
        <x:v>ACC-83899</x:v>
      </x:c>
      <x:c r="C31" s="885"/>
      <x:c r="D31" s="885"/>
      <x:c r="E31" s="886"/>
      <x:c r="F31" s="355"/>
      <x:c r="G31" s="355"/>
      <x:c r="H31" s="355"/>
    </x:row>
    <x:row r="32" ht="22" customHeight="1">
      <x:c r="A32" s="599" t="str">
        <x:v>ORD-0018</x:v>
      </x:c>
      <x:c r="B32" s="600" t="n">
        <x:v>46677</x:v>
      </x:c>
      <x:c r="C32" s="885"/>
      <x:c r="D32" s="885"/>
      <x:c r="E32" s="886"/>
      <x:c r="F32" s="355"/>
      <x:c r="G32" s="355"/>
      <x:c r="H32" s="355"/>
    </x:row>
    <x:row r="33" ht="22" customHeight="1">
      <x:c r="A33" s="599" t="str">
        <x:v>ORD-0019</x:v>
      </x:c>
      <x:c r="B33" s="600" t="str">
        <x:v>ACC-21128</x:v>
      </x:c>
      <x:c r="C33" s="885"/>
      <x:c r="D33" s="885"/>
      <x:c r="E33" s="886"/>
      <x:c r="F33" s="355"/>
      <x:c r="G33" s="355"/>
      <x:c r="H33" s="355"/>
    </x:row>
    <x:row r="34" ht="22" customHeight="1">
      <x:c r="A34" s="599" t="str">
        <x:v>ORD-0024</x:v>
      </x:c>
      <x:c r="B34" s="600" t="n">
        <x:v>44735</x:v>
      </x:c>
      <x:c r="C34" s="885"/>
      <x:c r="D34" s="885"/>
      <x:c r="E34" s="886"/>
      <x:c r="F34" s="355"/>
      <x:c r="G34" s="355"/>
      <x:c r="H34" s="355"/>
    </x:row>
    <x:row r="35" ht="22" customHeight="1">
      <x:c r="A35" s="599" t="str">
        <x:v>ORD-0030</x:v>
      </x:c>
      <x:c r="B35" s="600" t="n">
        <x:v>53456</x:v>
      </x:c>
      <x:c r="C35" s="885"/>
      <x:c r="D35" s="885"/>
      <x:c r="E35" s="886"/>
      <x:c r="F35" s="355"/>
      <x:c r="G35" s="355"/>
      <x:c r="H35" s="355"/>
    </x:row>
    <x:row r="36" ht="22" customHeight="1">
      <x:c r="A36" s="599" t="str">
        <x:v>ORD-0036</x:v>
      </x:c>
      <x:c r="B36" s="600" t="n">
        <x:v>60905</x:v>
      </x:c>
      <x:c r="C36" s="885"/>
      <x:c r="D36" s="885"/>
      <x:c r="E36" s="886"/>
      <x:c r="F36" s="355"/>
      <x:c r="G36" s="355"/>
      <x:c r="H36" s="355"/>
    </x:row>
    <x:row r="37" ht="22" customHeight="1">
      <x:c r="A37" s="599" t="str">
        <x:v>ORD-0042</x:v>
      </x:c>
      <x:c r="B37" s="600" t="n">
        <x:v>79002</x:v>
      </x:c>
      <x:c r="C37" s="885"/>
      <x:c r="D37" s="885"/>
      <x:c r="E37" s="886"/>
      <x:c r="F37" s="355"/>
      <x:c r="G37" s="355"/>
      <x:c r="H37" s="355"/>
    </x:row>
    <x:row r="38" ht="22" customHeight="1">
      <x:c r="A38" s="599" t="str">
        <x:v>ORD-0048</x:v>
      </x:c>
      <x:c r="B38" s="600" t="n">
        <x:v>84381</x:v>
      </x:c>
      <x:c r="C38" s="885"/>
      <x:c r="D38" s="885"/>
      <x:c r="E38" s="886"/>
      <x:c r="F38" s="355"/>
      <x:c r="G38" s="355"/>
      <x:c r="H38" s="355"/>
    </x:row>
    <x:row r="39" ht="22" customHeight="1">
      <x:c r="A39" s="599" t="str">
        <x:v>ORD-0054</x:v>
      </x:c>
      <x:c r="B39" s="600" t="n">
        <x:v>48654</x:v>
      </x:c>
      <x:c r="C39" s="885"/>
      <x:c r="D39" s="885"/>
      <x:c r="E39" s="886"/>
      <x:c r="F39" s="355"/>
      <x:c r="G39" s="355"/>
      <x:c r="H39" s="355"/>
    </x:row>
    <x:row r="40" ht="22" customHeight="1">
      <x:c r="A40" s="601" t="str">
        <x:v>ORD-0060</x:v>
      </x:c>
      <x:c r="B40" s="602" t="n">
        <x:v>32391</x:v>
      </x:c>
      <x:c r="C40" s="887"/>
      <x:c r="D40" s="887"/>
      <x:c r="E40" s="888"/>
      <x:c r="F40" s="355"/>
      <x:c r="G40" s="355"/>
      <x:c r="H40" s="355"/>
    </x:row>
    <x:row r="41">
      <x:c r="A41" s="355"/>
      <x:c r="B41" s="355"/>
      <x:c r="C41" s="355"/>
      <x:c r="D41" s="355"/>
      <x:c r="E41" s="355"/>
      <x:c r="F41" s="355"/>
      <x:c r="G41" s="355"/>
      <x:c r="H41" s="355"/>
    </x:row>
    <x:row r="42">
      <x:c r="A42" s="355"/>
      <x:c r="B42" s="355"/>
      <x:c r="C42" s="355"/>
      <x:c r="D42" s="355"/>
      <x:c r="E42" s="355"/>
      <x:c r="F42" s="355"/>
      <x:c r="G42" s="355"/>
      <x:c r="H42" s="355"/>
    </x:row>
    <x:row r="43">
      <x:c r="A43" s="355"/>
      <x:c r="B43" s="355"/>
      <x:c r="C43" s="355"/>
      <x:c r="D43" s="355"/>
      <x:c r="E43" s="355"/>
      <x:c r="F43" s="355"/>
      <x:c r="G43" s="355"/>
      <x:c r="H43" s="355"/>
    </x:row>
    <x:row r="44">
      <x:c r="A44" s="355"/>
      <x:c r="B44" s="355"/>
      <x:c r="C44" s="355"/>
      <x:c r="D44" s="355"/>
      <x:c r="E44" s="355"/>
      <x:c r="F44" s="355"/>
      <x:c r="G44" s="355"/>
      <x:c r="H44" s="355"/>
    </x:row>
    <x:row r="45">
      <x:c r="A45" s="355"/>
      <x:c r="B45" s="355"/>
      <x:c r="C45" s="355"/>
      <x:c r="D45" s="355"/>
      <x:c r="E45" s="355"/>
      <x:c r="F45" s="355"/>
      <x:c r="G45" s="355"/>
      <x:c r="H45" s="355"/>
    </x:row>
    <x:row r="46">
      <x:c r="A46" s="355"/>
      <x:c r="B46" s="355"/>
      <x:c r="C46" s="355"/>
      <x:c r="D46" s="355"/>
      <x:c r="E46" s="355"/>
      <x:c r="F46" s="355"/>
      <x:c r="G46" s="355"/>
      <x:c r="H46" s="355"/>
    </x:row>
    <x:row r="47">
      <x:c r="A47" s="355"/>
      <x:c r="B47" s="355"/>
      <x:c r="C47" s="355"/>
      <x:c r="D47" s="355"/>
      <x:c r="E47" s="355"/>
      <x:c r="F47" s="355"/>
      <x:c r="G47" s="355"/>
      <x:c r="H47" s="355"/>
    </x:row>
    <x:row r="48">
      <x:c r="A48" s="355"/>
      <x:c r="B48" s="355"/>
      <x:c r="C48" s="355"/>
      <x:c r="D48" s="355"/>
      <x:c r="E48" s="355"/>
      <x:c r="F48" s="355"/>
      <x:c r="G48" s="355"/>
      <x:c r="H48" s="355"/>
    </x:row>
  </x:sheetData>
  <x:mergeCells>
    <x:mergeCell ref="A1:H2"/>
    <x:mergeCell ref="A3:H3"/>
    <x:mergeCell ref="A5:H6"/>
    <x:mergeCell ref="A7:H8"/>
    <x:mergeCell ref="G10:H10"/>
    <x:mergeCell ref="G11:H12"/>
    <x:mergeCell ref="G14:H15"/>
    <x:mergeCell ref="A18:D20"/>
    <x:mergeCell ref="E18:H20"/>
  </x:mergeCells>
  <x:conditionalFormatting sqref="E24:E40">
    <x:cfRule type="expression" dxfId="1" priority="1">
      <x:formula>E24="Review Type"</x:formula>
    </x:cfRule>
  </x:conditionalFormatting>
  <x:dataValidations count="5">
    <x:dataValidation allowBlank="1" showInputMessage="1" promptTitle="Order ID | رقم الطلب" prompt="Service order identifier.&#10;رقم طلب الخدمة." sqref="A23"/>
    <x:dataValidation allowBlank="1" showInputMessage="1" promptTitle="Account Reference | مرجع الحساب" prompt="Value to validate; some rows are intentionally numeric.&#10;القيمة المطلوب فحصها وبعض الصفوف أرقام بشكل مقصود." sqref="B23"/>
    <x:dataValidation allowBlank="1" showInputMessage="1" promptTitle="ISTEXT | هل هي Text؟" prompt="TRUE when Excel stores the value as text.&#10;TRUE إذا كانت القيمة مخزنة كنص." sqref="C23"/>
    <x:dataValidation allowBlank="1" showInputMessage="1" promptTitle="ISNONTEXT | ليست Text؟" prompt="TRUE when the value is not text.&#10;TRUE إذا لم تكن القيمة نصاً." sqref="D23"/>
    <x:dataValidation allowBlank="1" showInputMessage="1" promptTitle="Quality Flag | مؤشر الجودة" prompt="Business-friendly flag built from the type test.&#10;نتيجة مفهومة للعمل مبنية على فحص النوع." sqref="E23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1" hidden="0" customWidth="1"/>
    <x:col min="6" max="6" width="27" hidden="0" customWidth="1"/>
    <x:col min="7" max="7" width="24" hidden="0" customWidth="1"/>
    <x:col min="8" max="8" width="18" hidden="0" customWidth="1"/>
    <x:col min="9" max="9" width="4" hidden="0" customWidth="1"/>
    <x:col min="10" max="10" width="22" hidden="0" customWidth="1"/>
  </x:cols>
  <x:sheetData>
    <x:row r="1">
      <x:c r="A1" s="666" t="str">
        <x:v>BUSINESS CASE 04  •  CALENDAR DAYS CAN MISLEAD AN SLA REPORT</x:v>
      </x:c>
      <x:c r="B1" s="666"/>
      <x:c r="C1" s="666"/>
      <x:c r="D1" s="666"/>
      <x:c r="E1" s="666"/>
      <x:c r="F1" s="666"/>
      <x:c r="G1" s="666"/>
      <x:c r="H1" s="666"/>
      <x:c r="I1" s="666"/>
      <x:c r="J1" s="666"/>
    </x:row>
    <x:row r="2">
      <x:c r="A2" s="666"/>
      <x:c r="B2" s="666"/>
      <x:c r="C2" s="666"/>
      <x:c r="D2" s="666"/>
      <x:c r="E2" s="666"/>
      <x:c r="F2" s="666"/>
      <x:c r="G2" s="666"/>
      <x:c r="H2" s="666"/>
      <x:c r="I2" s="666"/>
      <x:c r="J2" s="666"/>
    </x:row>
    <x:row r="3">
      <x:c r="A3" s="371" t="str">
        <x:v>الفرق بين تاريخين مش دائماً هو الرقم اللي بدك إياه</x:v>
      </x:c>
      <x:c r="B3" s="371"/>
      <x:c r="C3" s="371"/>
      <x:c r="D3" s="371"/>
      <x:c r="E3" s="371"/>
      <x:c r="F3" s="371"/>
      <x:c r="G3" s="371"/>
      <x:c r="H3" s="371"/>
      <x:c r="I3" s="371"/>
      <x:c r="J3" s="371"/>
    </x:row>
    <x:row r="4" ht="6" customHeight="1">
      <x:c r="A4" s="355"/>
      <x:c r="B4" s="355"/>
      <x:c r="C4" s="355"/>
      <x:c r="D4" s="355"/>
      <x:c r="E4" s="355"/>
      <x:c r="F4" s="355"/>
      <x:c r="G4" s="355"/>
      <x:c r="H4" s="355"/>
      <x:c r="I4" s="355"/>
      <x:c r="J4" s="355"/>
    </x:row>
    <x:row r="5">
      <x:c r="A5" s="514" t="str">
        <x:v>YOUR MISSION  •  Turn raw dates into reporting fields and operational SLA logic. Complete the highlighted practice rows.</x:v>
      </x:c>
      <x:c r="B5" s="515"/>
      <x:c r="C5" s="515"/>
      <x:c r="D5" s="515"/>
      <x:c r="E5" s="515"/>
      <x:c r="F5" s="515"/>
      <x:c r="G5" s="515"/>
      <x:c r="H5" s="515"/>
      <x:c r="I5" s="515"/>
      <x:c r="J5" s="515"/>
    </x:row>
    <x:row r="6">
      <x:c r="A6" s="514"/>
      <x:c r="B6" s="515"/>
      <x:c r="C6" s="515"/>
      <x:c r="D6" s="515"/>
      <x:c r="E6" s="515"/>
      <x:c r="F6" s="515"/>
      <x:c r="G6" s="515"/>
      <x:c r="H6" s="515"/>
      <x:c r="I6" s="515"/>
      <x:c r="J6" s="515"/>
    </x:row>
    <x:row r="7" ht="24" customHeight="1">
      <x:c r="A7" s="1361" t="str">
        <x:v>المطلوب منك  •  حوّل التواريخ إلى حقول تقرير وSLA، وأكمل الخلايا الصفراء.</x:v>
      </x:c>
      <x:c r="B7" s="1361"/>
      <x:c r="C7" s="1361"/>
      <x:c r="D7" s="1361"/>
      <x:c r="E7" s="1361"/>
      <x:c r="F7" s="1361"/>
      <x:c r="G7" s="1361"/>
      <x:c r="H7" s="1361"/>
      <x:c r="I7" s="1361"/>
      <x:c r="J7" s="1362"/>
    </x:row>
    <x:row r="8" ht="24" customHeight="1">
      <x:c r="A8" s="1361"/>
      <x:c r="B8" s="1361"/>
      <x:c r="C8" s="1361"/>
      <x:c r="D8" s="1361"/>
      <x:c r="E8" s="1361"/>
      <x:c r="F8" s="1361"/>
      <x:c r="G8" s="1361"/>
      <x:c r="H8" s="1361"/>
      <x:c r="I8" s="1361"/>
      <x:c r="J8" s="1362"/>
    </x:row>
    <x:row r="9">
      <x:c r="A9" s="481"/>
      <x:c r="B9" s="482"/>
      <x:c r="C9" s="482"/>
      <x:c r="D9" s="482"/>
      <x:c r="E9" s="482"/>
      <x:c r="F9" s="482"/>
      <x:c r="G9" s="482"/>
      <x:c r="H9" s="483"/>
      <x:c r="I9" s="355"/>
      <x:c r="J9" s="965"/>
    </x:row>
    <x:row r="10">
      <x:c r="A10" s="569" t="str">
        <x:v>Start</x:v>
      </x:c>
      <x:c r="B10" s="724" t="str">
        <x:v>Close</x:v>
      </x:c>
      <x:c r="C10" s="724" t="str">
        <x:v>Calendar Difference</x:v>
      </x:c>
      <x:c r="D10" s="972" t="str">
        <x:v>Business Days</x:v>
      </x:c>
      <x:c r="E10" s="656"/>
      <x:c r="F10" s="995" t="str">
        <x:v>DATE INTELLIGENCE TOOLKIT</x:v>
      </x:c>
      <x:c r="G10" s="995"/>
      <x:c r="H10" s="996"/>
      <x:c r="I10" s="382"/>
      <x:c r="J10" s="997"/>
    </x:row>
    <x:row r="11">
      <x:c r="A11" s="979" t="n">
        <x:v>46044</x:v>
      </x:c>
      <x:c r="B11" s="977" t="n">
        <x:v>46048</x:v>
      </x:c>
      <x:c r="C11" s="980" t="n">
        <x:v>4</x:v>
      </x:c>
      <x:c r="D11" s="981" t="n">
        <x:v>3</x:v>
      </x:c>
      <x:c r="E11" s="354"/>
      <x:c r="F11" s="1004" t="str">
        <x:v>YEAR(date)</x:v>
      </x:c>
      <x:c r="G11" s="396" t="str">
        <x:v>Reporting year</x:v>
      </x:c>
      <x:c r="H11" s="861" t="str">
        <x:v>REPORTING LABEL
=TEXT(StartDate,"mmm") → Jan
SLA DECISION
=IF(CloseDate&lt;=DueDate,"On Time","Late")</x:v>
      </x:c>
      <x:c r="I11" s="868"/>
      <x:c r="J11" s="868"/>
    </x:row>
    <x:row r="12">
      <x:c r="A12" s="659"/>
      <x:c r="B12" s="660"/>
      <x:c r="C12" s="660"/>
      <x:c r="D12" s="660"/>
      <x:c r="E12" s="354"/>
      <x:c r="F12" s="1005" t="str">
        <x:v>MONTH(date)</x:v>
      </x:c>
      <x:c r="G12" s="399" t="str">
        <x:v>Month number</x:v>
      </x:c>
      <x:c r="H12" s="861"/>
      <x:c r="I12" s="868"/>
      <x:c r="J12" s="868"/>
    </x:row>
    <x:row r="13">
      <x:c r="A13" s="986" t="str">
        <x:v>Same dates. Two different questions.
Close - Start counts elapsed calendar days. NETWORKDAYS counts working days.</x:v>
      </x:c>
      <x:c r="B13" s="987"/>
      <x:c r="C13" s="987"/>
      <x:c r="D13" s="987"/>
      <x:c r="E13" s="354"/>
      <x:c r="F13" s="1005" t="str">
        <x:v>TODAY()</x:v>
      </x:c>
      <x:c r="G13" s="399" t="str">
        <x:v>Today's date — updates automatically</x:v>
      </x:c>
      <x:c r="H13" s="861"/>
      <x:c r="I13" s="868"/>
      <x:c r="J13" s="868"/>
    </x:row>
    <x:row r="14">
      <x:c r="A14" s="986"/>
      <x:c r="B14" s="987"/>
      <x:c r="C14" s="987"/>
      <x:c r="D14" s="987"/>
      <x:c r="E14" s="354"/>
      <x:c r="F14" s="1006" t="str">
        <x:v>NETWORKDAYS(start,end,[holidays])</x:v>
      </x:c>
      <x:c r="G14" s="402" t="str">
        <x:v>Whole working days between two dates</x:v>
      </x:c>
      <x:c r="H14" s="861"/>
      <x:c r="I14" s="868"/>
      <x:c r="J14" s="868"/>
    </x:row>
    <x:row r="15">
      <x:c r="A15" s="659"/>
      <x:c r="B15" s="660"/>
      <x:c r="C15" s="660"/>
      <x:c r="D15" s="660"/>
      <x:c r="E15" s="354"/>
      <x:c r="F15" s="354"/>
      <x:c r="G15" s="354"/>
      <x:c r="H15" s="661"/>
      <x:c r="I15" s="355"/>
      <x:c r="J15" s="355"/>
    </x:row>
    <x:row r="16">
      <x:c r="A16" s="659"/>
      <x:c r="B16" s="660"/>
      <x:c r="C16" s="660"/>
      <x:c r="D16" s="660"/>
      <x:c r="E16" s="354"/>
      <x:c r="F16" s="354"/>
      <x:c r="G16" s="354"/>
      <x:c r="H16" s="661"/>
      <x:c r="I16" s="355"/>
      <x:c r="J16" s="355"/>
    </x:row>
    <x:row r="17" ht="22" customHeight="1">
      <x:c r="A17" s="569" t="str">
        <x:v>Order ID</x:v>
      </x:c>
      <x:c r="B17" s="724" t="str">
        <x:v>Start</x:v>
      </x:c>
      <x:c r="C17" s="724" t="str">
        <x:v>Due</x:v>
      </x:c>
      <x:c r="D17" s="724" t="str">
        <x:v>Close</x:v>
      </x:c>
      <x:c r="E17" s="570" t="str">
        <x:v>Year</x:v>
      </x:c>
      <x:c r="F17" s="570" t="str">
        <x:v>Month</x:v>
      </x:c>
      <x:c r="G17" s="570" t="str">
        <x:v>Business Days</x:v>
      </x:c>
      <x:c r="H17" s="572" t="str">
        <x:v>SLA Status</x:v>
      </x:c>
      <x:c r="I17" s="355"/>
      <x:c r="J17" s="378" t="str">
        <x:v>TODAY()</x:v>
      </x:c>
    </x:row>
    <x:row r="18" ht="22" customHeight="1">
      <x:c r="A18" s="582" t="str">
        <x:v>ORD-0001</x:v>
      </x:c>
      <x:c r="B18" s="743" t="n">
        <x:v>46044</x:v>
      </x:c>
      <x:c r="C18" s="743" t="n">
        <x:v>46049</x:v>
      </x:c>
      <x:c r="D18" s="743" t="n">
        <x:v>46048</x:v>
      </x:c>
      <x:c r="E18" s="883" t="n">
        <x:f>YEAR(B18)</x:f>
        <x:v>2026</x:v>
      </x:c>
      <x:c r="F18" s="883" t="str">
        <x:f>TEXT(B18,"mmm")</x:f>
        <x:v>Jan</x:v>
      </x:c>
      <x:c r="G18" s="1012" t="n">
        <x:f>NETWORKDAYS(B18,D18)</x:f>
        <x:v>3</x:v>
      </x:c>
      <x:c r="H18" s="884" t="str">
        <x:f>IF(D18&lt;=C18,"On Time","Late")</x:f>
        <x:v>On Time</x:v>
      </x:c>
      <x:c r="I18" s="355"/>
      <x:c r="J18" s="378"/>
    </x:row>
    <x:row r="19" ht="22" customHeight="1">
      <x:c r="A19" s="587" t="str">
        <x:v>ORD-0002</x:v>
      </x:c>
      <x:c r="B19" s="745" t="n">
        <x:v>46173</x:v>
      </x:c>
      <x:c r="C19" s="745" t="n">
        <x:v>46184</x:v>
      </x:c>
      <x:c r="D19" s="745" t="n">
        <x:v>46183</x:v>
      </x:c>
      <x:c r="E19" s="956" t="n">
        <x:f>YEAR(B19)</x:f>
        <x:v>2026</x:v>
      </x:c>
      <x:c r="F19" s="956" t="str">
        <x:f>TEXT(B19,"mmm")</x:f>
        <x:v>May</x:v>
      </x:c>
      <x:c r="G19" s="1013" t="n">
        <x:f>NETWORKDAYS(B19,D19)</x:f>
        <x:v>8</x:v>
      </x:c>
      <x:c r="H19" s="957" t="str">
        <x:f>IF(D19&lt;=C19,"On Time","Late")</x:f>
        <x:v>On Time</x:v>
      </x:c>
      <x:c r="I19" s="355"/>
      <x:c r="J19" s="1020" t="n">
        <x:f>TODAY()</x:f>
        <x:v>46269</x:v>
      </x:c>
    </x:row>
    <x:row r="20" ht="22" customHeight="1">
      <x:c r="A20" s="587" t="str">
        <x:v>ORD-0003</x:v>
      </x:c>
      <x:c r="B20" s="745" t="n">
        <x:v>46085</x:v>
      </x:c>
      <x:c r="C20" s="745" t="n">
        <x:v>46087</x:v>
      </x:c>
      <x:c r="D20" s="745" t="n">
        <x:v>46091</x:v>
      </x:c>
      <x:c r="E20" s="956" t="n">
        <x:f>YEAR(B20)</x:f>
        <x:v>2026</x:v>
      </x:c>
      <x:c r="F20" s="956" t="str">
        <x:f>TEXT(B20,"mmm")</x:f>
        <x:v>Mar</x:v>
      </x:c>
      <x:c r="G20" s="1013" t="n">
        <x:f>NETWORKDAYS(B20,D20)</x:f>
        <x:v>5</x:v>
      </x:c>
      <x:c r="H20" s="957" t="str">
        <x:f>IF(D20&lt;=C20,"On Time","Late")</x:f>
        <x:v>Late</x:v>
      </x:c>
      <x:c r="I20" s="355"/>
      <x:c r="J20" s="355"/>
    </x:row>
    <x:row r="21" ht="22" customHeight="1">
      <x:c r="A21" s="587" t="str">
        <x:v>ORD-0004</x:v>
      </x:c>
      <x:c r="B21" s="745" t="n">
        <x:v>46193</x:v>
      </x:c>
      <x:c r="C21" s="745" t="n">
        <x:v>46205</x:v>
      </x:c>
      <x:c r="D21" s="745" t="n">
        <x:v>46205</x:v>
      </x:c>
      <x:c r="E21" s="958"/>
      <x:c r="F21" s="958"/>
      <x:c r="G21" s="1014"/>
      <x:c r="H21" s="959"/>
      <x:c r="I21" s="355"/>
      <x:c r="J21" s="1022" t="str">
        <x:v>TODAY() has no arguments.
It recalculates when the workbook recalculates.</x:v>
      </x:c>
    </x:row>
    <x:row r="22" ht="22" customHeight="1">
      <x:c r="A22" s="587" t="str">
        <x:v>ORD-0005</x:v>
      </x:c>
      <x:c r="B22" s="745" t="n">
        <x:v>46150</x:v>
      </x:c>
      <x:c r="C22" s="745" t="n">
        <x:v>46156</x:v>
      </x:c>
      <x:c r="D22" s="745" t="n">
        <x:v>46158</x:v>
      </x:c>
      <x:c r="E22" s="958"/>
      <x:c r="F22" s="958"/>
      <x:c r="G22" s="1014"/>
      <x:c r="H22" s="959"/>
      <x:c r="I22" s="355"/>
      <x:c r="J22" s="1022"/>
    </x:row>
    <x:row r="23" ht="22" customHeight="1">
      <x:c r="A23" s="587" t="str">
        <x:v>ORD-0006</x:v>
      </x:c>
      <x:c r="B23" s="745" t="n">
        <x:v>46220</x:v>
      </x:c>
      <x:c r="C23" s="745" t="n">
        <x:v>46221</x:v>
      </x:c>
      <x:c r="D23" s="745" t="n">
        <x:v>46224</x:v>
      </x:c>
      <x:c r="E23" s="958"/>
      <x:c r="F23" s="958"/>
      <x:c r="G23" s="1014"/>
      <x:c r="H23" s="959"/>
      <x:c r="I23" s="355"/>
      <x:c r="J23" s="1022"/>
    </x:row>
    <x:row r="24" ht="22" customHeight="1">
      <x:c r="A24" s="587" t="str">
        <x:v>ORD-0007</x:v>
      </x:c>
      <x:c r="B24" s="745" t="n">
        <x:v>46205</x:v>
      </x:c>
      <x:c r="C24" s="745" t="n">
        <x:v>46215</x:v>
      </x:c>
      <x:c r="D24" s="745" t="n">
        <x:v>46214</x:v>
      </x:c>
      <x:c r="E24" s="958"/>
      <x:c r="F24" s="958"/>
      <x:c r="G24" s="1014"/>
      <x:c r="H24" s="959"/>
      <x:c r="I24" s="355"/>
      <x:c r="J24" s="1022"/>
    </x:row>
    <x:row r="25" ht="22" customHeight="1">
      <x:c r="A25" s="587" t="str">
        <x:v>ORD-0008</x:v>
      </x:c>
      <x:c r="B25" s="745" t="n">
        <x:v>46150</x:v>
      </x:c>
      <x:c r="C25" s="745" t="n">
        <x:v>46160</x:v>
      </x:c>
      <x:c r="D25" s="745" t="n">
        <x:v>46160</x:v>
      </x:c>
      <x:c r="E25" s="958"/>
      <x:c r="F25" s="958"/>
      <x:c r="G25" s="1014"/>
      <x:c r="H25" s="959"/>
      <x:c r="I25" s="355"/>
      <x:c r="J25" s="355"/>
    </x:row>
    <x:row r="26" ht="22" customHeight="1">
      <x:c r="A26" s="587" t="str">
        <x:v>ORD-0009</x:v>
      </x:c>
      <x:c r="B26" s="745" t="n">
        <x:v>46081</x:v>
      </x:c>
      <x:c r="C26" s="745" t="n">
        <x:v>46093</x:v>
      </x:c>
      <x:c r="D26" s="745" t="n">
        <x:v>46091</x:v>
      </x:c>
      <x:c r="E26" s="958"/>
      <x:c r="F26" s="958"/>
      <x:c r="G26" s="1014"/>
      <x:c r="H26" s="959"/>
      <x:c r="I26" s="355"/>
      <x:c r="J26" s="355"/>
    </x:row>
    <x:row r="27" ht="22" customHeight="1">
      <x:c r="A27" s="587" t="str">
        <x:v>ORD-0010</x:v>
      </x:c>
      <x:c r="B27" s="745" t="n">
        <x:v>46116</x:v>
      </x:c>
      <x:c r="C27" s="745" t="n">
        <x:v>46123</x:v>
      </x:c>
      <x:c r="D27" s="745" t="n">
        <x:v>46123</x:v>
      </x:c>
      <x:c r="E27" s="958"/>
      <x:c r="F27" s="958"/>
      <x:c r="G27" s="1014"/>
      <x:c r="H27" s="959"/>
      <x:c r="I27" s="355"/>
      <x:c r="J27" s="355"/>
    </x:row>
    <x:row r="28" ht="22" customHeight="1">
      <x:c r="A28" s="587" t="str">
        <x:v>ORD-0011</x:v>
      </x:c>
      <x:c r="B28" s="745" t="n">
        <x:v>46105</x:v>
      </x:c>
      <x:c r="C28" s="745" t="n">
        <x:v>46109</x:v>
      </x:c>
      <x:c r="D28" s="745" t="n">
        <x:v>46113</x:v>
      </x:c>
      <x:c r="E28" s="958"/>
      <x:c r="F28" s="958"/>
      <x:c r="G28" s="1014"/>
      <x:c r="H28" s="959"/>
      <x:c r="I28" s="355"/>
      <x:c r="J28" s="355"/>
    </x:row>
    <x:row r="29" ht="22" customHeight="1">
      <x:c r="A29" s="591" t="str">
        <x:v>ORD-0012</x:v>
      </x:c>
      <x:c r="B29" s="747" t="n">
        <x:v>46151</x:v>
      </x:c>
      <x:c r="C29" s="747" t="n">
        <x:v>46162</x:v>
      </x:c>
      <x:c r="D29" s="747" t="n">
        <x:v>46160</x:v>
      </x:c>
      <x:c r="E29" s="960"/>
      <x:c r="F29" s="960"/>
      <x:c r="G29" s="1015"/>
      <x:c r="H29" s="961"/>
      <x:c r="I29" s="355"/>
      <x:c r="J29" s="355"/>
    </x:row>
    <x:row r="30" ht="22" customHeight="1">
      <x:c r="A30" s="599" t="str">
        <x:v>ORD-0013</x:v>
      </x:c>
      <x:c r="B30" s="750" t="n">
        <x:v>46040</x:v>
      </x:c>
      <x:c r="C30" s="750" t="n">
        <x:v>46048</x:v>
      </x:c>
      <x:c r="D30" s="750" t="n">
        <x:v>46050</x:v>
      </x:c>
      <x:c r="E30" s="885"/>
      <x:c r="F30" s="885"/>
      <x:c r="G30" s="1016"/>
      <x:c r="H30" s="886"/>
      <x:c r="I30" s="355"/>
      <x:c r="J30" s="355"/>
    </x:row>
    <x:row r="31" ht="22" customHeight="1">
      <x:c r="A31" s="599" t="str">
        <x:v>ORD-0014</x:v>
      </x:c>
      <x:c r="B31" s="750" t="n">
        <x:v>46117</x:v>
      </x:c>
      <x:c r="C31" s="750" t="n">
        <x:v>46121</x:v>
      </x:c>
      <x:c r="D31" s="750" t="n">
        <x:v>46123</x:v>
      </x:c>
      <x:c r="E31" s="885"/>
      <x:c r="F31" s="885"/>
      <x:c r="G31" s="1016"/>
      <x:c r="H31" s="886"/>
      <x:c r="I31" s="355"/>
      <x:c r="J31" s="355"/>
    </x:row>
    <x:row r="32" ht="22" customHeight="1">
      <x:c r="A32" s="599" t="str">
        <x:v>ORD-0015</x:v>
      </x:c>
      <x:c r="B32" s="750" t="n">
        <x:v>46117</x:v>
      </x:c>
      <x:c r="C32" s="750" t="n">
        <x:v>46127</x:v>
      </x:c>
      <x:c r="D32" s="750" t="n">
        <x:v>46132</x:v>
      </x:c>
      <x:c r="E32" s="885"/>
      <x:c r="F32" s="885"/>
      <x:c r="G32" s="1016"/>
      <x:c r="H32" s="886"/>
      <x:c r="I32" s="355"/>
      <x:c r="J32" s="355"/>
    </x:row>
    <x:row r="33" ht="22" customHeight="1">
      <x:c r="A33" s="599" t="str">
        <x:v>ORD-0016</x:v>
      </x:c>
      <x:c r="B33" s="750" t="n">
        <x:v>46024</x:v>
      </x:c>
      <x:c r="C33" s="750" t="n">
        <x:v>46031</x:v>
      </x:c>
      <x:c r="D33" s="750" t="n">
        <x:v>46029</x:v>
      </x:c>
      <x:c r="E33" s="885"/>
      <x:c r="F33" s="885"/>
      <x:c r="G33" s="1016"/>
      <x:c r="H33" s="886"/>
      <x:c r="I33" s="355"/>
      <x:c r="J33" s="355"/>
    </x:row>
    <x:row r="34" ht="22" customHeight="1">
      <x:c r="A34" s="599" t="str">
        <x:v>ORD-0017</x:v>
      </x:c>
      <x:c r="B34" s="750" t="n">
        <x:v>46023</x:v>
      </x:c>
      <x:c r="C34" s="750" t="n">
        <x:v>46034</x:v>
      </x:c>
      <x:c r="D34" s="750" t="n">
        <x:v>46038</x:v>
      </x:c>
      <x:c r="E34" s="885"/>
      <x:c r="F34" s="885"/>
      <x:c r="G34" s="1016"/>
      <x:c r="H34" s="886"/>
      <x:c r="I34" s="355"/>
      <x:c r="J34" s="355"/>
    </x:row>
    <x:row r="35" ht="22" customHeight="1">
      <x:c r="A35" s="599" t="str">
        <x:v>ORD-0018</x:v>
      </x:c>
      <x:c r="B35" s="750" t="n">
        <x:v>46148</x:v>
      </x:c>
      <x:c r="C35" s="750" t="n">
        <x:v>46149</x:v>
      </x:c>
      <x:c r="D35" s="750" t="n">
        <x:v>46149</x:v>
      </x:c>
      <x:c r="E35" s="885"/>
      <x:c r="F35" s="885"/>
      <x:c r="G35" s="1016"/>
      <x:c r="H35" s="886"/>
      <x:c r="I35" s="355"/>
      <x:c r="J35" s="355"/>
    </x:row>
    <x:row r="36" ht="22" customHeight="1">
      <x:c r="A36" s="599" t="str">
        <x:v>ORD-0019</x:v>
      </x:c>
      <x:c r="B36" s="750" t="n">
        <x:v>46202</x:v>
      </x:c>
      <x:c r="C36" s="750" t="n">
        <x:v>46208</x:v>
      </x:c>
      <x:c r="D36" s="750" t="n">
        <x:v>46213</x:v>
      </x:c>
      <x:c r="E36" s="885"/>
      <x:c r="F36" s="885"/>
      <x:c r="G36" s="1016"/>
      <x:c r="H36" s="886"/>
      <x:c r="I36" s="355"/>
      <x:c r="J36" s="355"/>
    </x:row>
    <x:row r="37" ht="22" customHeight="1">
      <x:c r="A37" s="601" t="str">
        <x:v>ORD-0020</x:v>
      </x:c>
      <x:c r="B37" s="751" t="n">
        <x:v>46042</x:v>
      </x:c>
      <x:c r="C37" s="751" t="n">
        <x:v>46052</x:v>
      </x:c>
      <x:c r="D37" s="751" t="n">
        <x:v>46050</x:v>
      </x:c>
      <x:c r="E37" s="887"/>
      <x:c r="F37" s="887"/>
      <x:c r="G37" s="1017"/>
      <x:c r="H37" s="888"/>
      <x:c r="I37" s="355"/>
      <x:c r="J37" s="355"/>
    </x:row>
    <x:row r="38">
      <x:c r="A38" s="355"/>
      <x:c r="B38" s="355"/>
      <x:c r="C38" s="355"/>
      <x:c r="D38" s="355"/>
      <x:c r="E38" s="355"/>
      <x:c r="F38" s="355"/>
      <x:c r="G38" s="355"/>
      <x:c r="H38" s="355"/>
      <x:c r="I38" s="355"/>
      <x:c r="J38" s="355"/>
    </x:row>
    <x:row r="39">
      <x:c r="A39" s="355"/>
      <x:c r="B39" s="355"/>
      <x:c r="C39" s="355"/>
      <x:c r="D39" s="355"/>
      <x:c r="E39" s="355"/>
      <x:c r="F39" s="355"/>
      <x:c r="G39" s="355"/>
      <x:c r="H39" s="355"/>
      <x:c r="I39" s="355"/>
      <x:c r="J39" s="355"/>
    </x:row>
    <x:row r="40">
      <x:c r="A40" s="355"/>
      <x:c r="B40" s="355"/>
      <x:c r="C40" s="355"/>
      <x:c r="D40" s="355"/>
      <x:c r="E40" s="355"/>
      <x:c r="F40" s="355"/>
      <x:c r="G40" s="355"/>
      <x:c r="H40" s="355"/>
      <x:c r="I40" s="355"/>
      <x:c r="J40" s="355"/>
    </x:row>
    <x:row r="41">
      <x:c r="A41" s="355"/>
      <x:c r="B41" s="355"/>
      <x:c r="C41" s="355"/>
      <x:c r="D41" s="355"/>
      <x:c r="E41" s="355"/>
      <x:c r="F41" s="355"/>
      <x:c r="G41" s="355"/>
      <x:c r="H41" s="355"/>
      <x:c r="I41" s="355"/>
      <x:c r="J41" s="355"/>
    </x:row>
    <x:row r="42">
      <x:c r="A42" s="355"/>
      <x:c r="B42" s="355"/>
      <x:c r="C42" s="355"/>
      <x:c r="D42" s="355"/>
      <x:c r="E42" s="355"/>
      <x:c r="F42" s="355"/>
      <x:c r="G42" s="355"/>
      <x:c r="H42" s="355"/>
      <x:c r="I42" s="355"/>
      <x:c r="J42" s="355"/>
    </x:row>
    <x:row r="43">
      <x:c r="A43" s="355"/>
      <x:c r="B43" s="355"/>
      <x:c r="C43" s="355"/>
      <x:c r="D43" s="355"/>
      <x:c r="E43" s="355"/>
      <x:c r="F43" s="355"/>
      <x:c r="G43" s="355"/>
      <x:c r="H43" s="355"/>
      <x:c r="I43" s="355"/>
      <x:c r="J43" s="355"/>
    </x:row>
    <x:row r="44">
      <x:c r="A44" s="355"/>
      <x:c r="B44" s="355"/>
      <x:c r="C44" s="355"/>
      <x:c r="D44" s="355"/>
      <x:c r="E44" s="355"/>
      <x:c r="F44" s="355"/>
      <x:c r="G44" s="355"/>
      <x:c r="H44" s="355"/>
      <x:c r="I44" s="355"/>
      <x:c r="J44" s="355"/>
    </x:row>
    <x:row r="45">
      <x:c r="A45" s="355"/>
      <x:c r="B45" s="355"/>
      <x:c r="C45" s="355"/>
      <x:c r="D45" s="355"/>
      <x:c r="E45" s="355"/>
      <x:c r="F45" s="355"/>
      <x:c r="G45" s="355"/>
      <x:c r="H45" s="355"/>
      <x:c r="I45" s="355"/>
      <x:c r="J45" s="355"/>
    </x:row>
    <x:row r="46">
      <x:c r="A46" s="355"/>
      <x:c r="B46" s="355"/>
      <x:c r="C46" s="355"/>
      <x:c r="D46" s="355"/>
      <x:c r="E46" s="355"/>
      <x:c r="F46" s="355"/>
      <x:c r="G46" s="355"/>
      <x:c r="H46" s="355"/>
      <x:c r="I46" s="355"/>
      <x:c r="J46" s="355"/>
    </x:row>
    <x:row r="47">
      <x:c r="A47" s="355"/>
      <x:c r="B47" s="355"/>
      <x:c r="C47" s="355"/>
      <x:c r="D47" s="355"/>
      <x:c r="E47" s="355"/>
      <x:c r="F47" s="355"/>
      <x:c r="G47" s="355"/>
      <x:c r="H47" s="355"/>
      <x:c r="I47" s="355"/>
      <x:c r="J47" s="355"/>
    </x:row>
    <x:row r="48">
      <x:c r="A48" s="355"/>
      <x:c r="B48" s="355"/>
      <x:c r="C48" s="355"/>
      <x:c r="D48" s="355"/>
      <x:c r="E48" s="355"/>
      <x:c r="F48" s="355"/>
      <x:c r="G48" s="355"/>
      <x:c r="H48" s="355"/>
      <x:c r="I48" s="355"/>
      <x:c r="J48" s="355"/>
    </x:row>
    <x:row r="49">
      <x:c r="A49" s="355"/>
      <x:c r="B49" s="355"/>
      <x:c r="C49" s="355"/>
      <x:c r="D49" s="355"/>
      <x:c r="E49" s="355"/>
      <x:c r="F49" s="355"/>
      <x:c r="G49" s="355"/>
      <x:c r="H49" s="355"/>
      <x:c r="I49" s="355"/>
      <x:c r="J49" s="355"/>
    </x:row>
    <x:row r="50">
      <x:c r="A50" s="355"/>
      <x:c r="B50" s="355"/>
      <x:c r="C50" s="355"/>
      <x:c r="D50" s="355"/>
      <x:c r="E50" s="355"/>
      <x:c r="F50" s="355"/>
      <x:c r="G50" s="355"/>
      <x:c r="H50" s="355"/>
      <x:c r="I50" s="355"/>
      <x:c r="J50" s="355"/>
    </x:row>
  </x:sheetData>
  <x:mergeCells>
    <x:mergeCell ref="A1:J2"/>
    <x:mergeCell ref="A3:J3"/>
    <x:mergeCell ref="A5:J6"/>
    <x:mergeCell ref="A7:J8"/>
    <x:mergeCell ref="A13:D14"/>
    <x:mergeCell ref="F10:J10"/>
    <x:mergeCell ref="H11:J14"/>
    <x:mergeCell ref="J17:J18"/>
    <x:mergeCell ref="J21:J24"/>
  </x:mergeCells>
  <x:conditionalFormatting sqref="H18:H37">
    <x:cfRule type="expression" dxfId="2" priority="1">
      <x:formula>H18="Late"</x:formula>
    </x:cfRule>
    <x:cfRule type="expression" dxfId="3" priority="2">
      <x:formula>H18="On Time"</x:formula>
    </x:cfRule>
  </x:conditionalFormatting>
  <x:dataValidations count="8">
    <x:dataValidation allowBlank="1" showInputMessage="1" promptTitle="Order ID | رقم الطلب" prompt="Service order identifier.&#10;رقم طلب الخدمة." sqref="A17"/>
    <x:dataValidation allowBlank="1" showInputMessage="1" promptTitle="Start | البداية" prompt="Order start date.&#10;تاريخ بدء الطلب." sqref="B17"/>
    <x:dataValidation allowBlank="1" showInputMessage="1" promptTitle="Due | الاستحقاق" prompt="Committed due date.&#10;تاريخ الاستحقاق." sqref="C17"/>
    <x:dataValidation allowBlank="1" showInputMessage="1" promptTitle="Close | الإغلاق" prompt="Actual close date.&#10;تاريخ الإغلاق الفعلي." sqref="D17"/>
    <x:dataValidation allowBlank="1" showInputMessage="1" promptTitle="Year | السنة" prompt="Reporting year from Start Date.&#10;سنة التقرير من تاريخ البداية." sqref="E17"/>
    <x:dataValidation allowBlank="1" showInputMessage="1" promptTitle="Month | الشهر" prompt="Month label from Start Date.&#10;اسم الشهر من تاريخ البداية." sqref="F17"/>
    <x:dataValidation allowBlank="1" showInputMessage="1" promptTitle="Business Days | أيام العمل" prompt="Working days from Start to Close.&#10;أيام العمل من البداية حتى الإغلاق." sqref="G17"/>
    <x:dataValidation allowBlank="1" showInputMessage="1" promptTitle="SLA Status | حالة SLA" prompt="Compare actual Close Date to Due Date.&#10;قارن تاريخ الإغلاق الفعلي بتاريخ الاستحقاق." sqref="H17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48" hidden="0" customWidth="1"/>
    <x:col min="3" max="3" width="25" hidden="0" customWidth="1"/>
    <x:col min="4" max="4" width="18" hidden="0" customWidth="1"/>
    <x:col min="5" max="5" width="4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498" t="str">
        <x:v>THE 2:50 PM SERVICE-ORDER RESCUE</x:v>
      </x:c>
      <x:c r="B1" s="498"/>
      <x:c r="C1" s="498"/>
      <x:c r="D1" s="498"/>
      <x:c r="E1" s="498"/>
      <x:c r="F1" s="498"/>
      <x:c r="G1" s="498"/>
      <x:c r="H1" s="498"/>
    </x:row>
    <x:row r="2">
      <x:c r="A2" s="498"/>
      <x:c r="B2" s="498"/>
      <x:c r="C2" s="498"/>
      <x:c r="D2" s="498"/>
      <x:c r="E2" s="498"/>
      <x:c r="F2" s="498"/>
      <x:c r="G2" s="498"/>
      <x:c r="H2" s="498"/>
    </x:row>
    <x:row r="3">
      <x:c r="A3" s="371" t="str">
        <x:v>عندك عشر دقائق قبل الاجتماع... والملف لسه Raw</x:v>
      </x:c>
      <x:c r="B3" s="371"/>
      <x:c r="C3" s="371"/>
      <x:c r="D3" s="371"/>
      <x:c r="E3" s="371"/>
      <x:c r="F3" s="371"/>
      <x:c r="G3" s="371"/>
      <x:c r="H3" s="371"/>
    </x:row>
    <x:row r="4" ht="6" customHeight="1">
      <x:c r="A4" s="355"/>
      <x:c r="B4" s="355"/>
      <x:c r="C4" s="355"/>
      <x:c r="D4" s="355"/>
      <x:c r="E4" s="355"/>
      <x:c r="F4" s="355"/>
      <x:c r="G4" s="355"/>
      <x:c r="H4" s="355"/>
    </x:row>
    <x:row r="5">
      <x:c r="A5" s="514" t="str">
        <x:v>YOUR MISSION  •  Work in pairs. Explain the business logic first, then build the formula. Use 02_RAW_DATA as your source.</x:v>
      </x:c>
      <x:c r="B5" s="515"/>
      <x:c r="C5" s="515"/>
      <x:c r="D5" s="515"/>
      <x:c r="E5" s="515"/>
      <x:c r="F5" s="515"/>
      <x:c r="G5" s="515"/>
      <x:c r="H5" s="515"/>
    </x:row>
    <x:row r="6">
      <x:c r="A6" s="514"/>
      <x:c r="B6" s="515"/>
      <x:c r="C6" s="515"/>
      <x:c r="D6" s="515"/>
      <x:c r="E6" s="515"/>
      <x:c r="F6" s="515"/>
      <x:c r="G6" s="515"/>
      <x:c r="H6" s="515"/>
    </x:row>
    <x:row r="7" ht="24" customHeight="1">
      <x:c r="A7" s="1361" t="str">
        <x:v>المطلوب منك  •  اشتغلوا أزواج: احكوا منطق الحل أولاً، ثم اكتبوا المعادلة. المصدر: 02_RAW_DATA.</x:v>
      </x:c>
      <x:c r="B7" s="1361"/>
      <x:c r="C7" s="1361"/>
      <x:c r="D7" s="1361"/>
      <x:c r="E7" s="1361"/>
      <x:c r="F7" s="1361"/>
      <x:c r="G7" s="1361"/>
      <x:c r="H7" s="1362"/>
    </x:row>
    <x:row r="8" ht="24" customHeight="1">
      <x:c r="A8" s="1361"/>
      <x:c r="B8" s="1361"/>
      <x:c r="C8" s="1361"/>
      <x:c r="D8" s="1361"/>
      <x:c r="E8" s="1361"/>
      <x:c r="F8" s="1361"/>
      <x:c r="G8" s="1361"/>
      <x:c r="H8" s="1362"/>
    </x:row>
    <x:row r="9">
      <x:c r="A9" s="481"/>
      <x:c r="B9" s="482"/>
      <x:c r="C9" s="482"/>
      <x:c r="D9" s="483"/>
      <x:c r="E9" s="355"/>
      <x:c r="F9" s="355"/>
      <x:c r="G9" s="355"/>
      <x:c r="H9" s="355"/>
    </x:row>
    <x:row r="10">
      <x:c r="A10" s="1038" t="str">
        <x:v>RULES  •  No manual Text to Columns  •  No manual typing of outputs  •  Do not repair the source feed  •  Reuse logic from Modules 01–03</x:v>
      </x:c>
      <x:c r="B10" s="1039"/>
      <x:c r="C10" s="1039"/>
      <x:c r="D10" s="1040"/>
      <x:c r="E10" s="519"/>
      <x:c r="F10" s="519"/>
      <x:c r="G10" s="519"/>
      <x:c r="H10" s="519"/>
    </x:row>
    <x:row r="11">
      <x:c r="A11" s="1041"/>
      <x:c r="B11" s="519"/>
      <x:c r="C11" s="519"/>
      <x:c r="D11" s="1042"/>
      <x:c r="E11" s="519"/>
      <x:c r="F11" s="519"/>
      <x:c r="G11" s="519"/>
      <x:c r="H11" s="519"/>
    </x:row>
    <x:row r="12">
      <x:c r="A12" s="659"/>
      <x:c r="B12" s="354"/>
      <x:c r="C12" s="354"/>
      <x:c r="D12" s="661"/>
      <x:c r="E12" s="355"/>
      <x:c r="F12" s="355"/>
      <x:c r="G12" s="355"/>
      <x:c r="H12" s="355"/>
    </x:row>
    <x:row r="13">
      <x:c r="A13" s="659"/>
      <x:c r="B13" s="354"/>
      <x:c r="C13" s="354"/>
      <x:c r="D13" s="661"/>
      <x:c r="E13" s="355"/>
      <x:c r="F13" s="355"/>
      <x:c r="G13" s="355"/>
      <x:c r="H13" s="355"/>
    </x:row>
    <x:row r="14" ht="32" customHeight="1">
      <x:c r="A14" s="569" t="str">
        <x:v>#</x:v>
      </x:c>
      <x:c r="B14" s="570" t="str">
        <x:v>BUSINESS TASK</x:v>
      </x:c>
      <x:c r="C14" s="570" t="str">
        <x:v>EXPECTED OUTPUT</x:v>
      </x:c>
      <x:c r="D14" s="572" t="str">
        <x:v>STATUS</x:v>
      </x:c>
      <x:c r="E14" s="355"/>
      <x:c r="F14" s="868" t="str">
        <x:v>TEAM CHECK
Before showing a formula, explain:
1. What is the business rule?
2. Which part of the data contains the answer?
3. What should happen on bad input?</x:v>
      </x:c>
      <x:c r="G14" s="868"/>
      <x:c r="H14" s="868"/>
    </x:row>
    <x:row r="15" ht="32" customHeight="1">
      <x:c r="A15" s="630" t="n">
        <x:v>1</x:v>
      </x:c>
      <x:c r="B15" s="583" t="str">
        <x:v>Extract Region from Composite Key</x:v>
      </x:c>
      <x:c r="C15" s="604" t="str">
        <x:v>Region field</x:v>
      </x:c>
      <x:c r="D15" s="1043" t="str">
        <x:v>Not Started</x:v>
      </x:c>
      <x:c r="E15" s="355"/>
      <x:c r="F15" s="868"/>
      <x:c r="G15" s="868"/>
      <x:c r="H15" s="868"/>
    </x:row>
    <x:row r="16" ht="32" customHeight="1">
      <x:c r="A16" s="631" t="n">
        <x:v>2</x:v>
      </x:c>
      <x:c r="B16" s="588" t="str">
        <x:v>Extract Service from Composite Key</x:v>
      </x:c>
      <x:c r="C16" s="605" t="str">
        <x:v>Service field</x:v>
      </x:c>
      <x:c r="D16" s="959" t="str">
        <x:v>Not Started</x:v>
      </x:c>
      <x:c r="E16" s="355"/>
      <x:c r="F16" s="868"/>
      <x:c r="G16" s="868"/>
      <x:c r="H16" s="868"/>
    </x:row>
    <x:row r="17" ht="32" customHeight="1">
      <x:c r="A17" s="632" t="n">
        <x:v>3</x:v>
      </x:c>
      <x:c r="B17" s="579" t="str">
        <x:v>Extract Customer ID and Order Type</x:v>
      </x:c>
      <x:c r="C17" s="606" t="str">
        <x:v>Two clean fields</x:v>
      </x:c>
      <x:c r="D17" s="961" t="str">
        <x:v>Not Started</x:v>
      </x:c>
      <x:c r="E17" s="355"/>
      <x:c r="F17" s="355"/>
      <x:c r="G17" s="355"/>
      <x:c r="H17" s="355"/>
    </x:row>
    <x:row r="18" ht="32" customHeight="1">
      <x:c r="A18" s="631" t="n">
        <x:v>4</x:v>
      </x:c>
      <x:c r="B18" s="600" t="str">
        <x:v>Split all four Composite Key components using one dynamic formula</x:v>
      </x:c>
      <x:c r="C18" s="607" t="str">
        <x:v>4-column spill</x:v>
      </x:c>
      <x:c r="D18" s="886" t="str">
        <x:v>Not Started</x:v>
      </x:c>
      <x:c r="E18" s="355"/>
      <x:c r="F18" s="519" t="str">
        <x:v>FINAL REFLECTION
Which cleaning step would you want Excel to repeat automatically every time a new file arrives?</x:v>
      </x:c>
      <x:c r="G18" s="519"/>
      <x:c r="H18" s="519"/>
    </x:row>
    <x:row r="19" ht="32" customHeight="1">
      <x:c r="A19" s="631" t="n">
        <x:v>5</x:v>
      </x:c>
      <x:c r="B19" s="600" t="str">
        <x:v>Flag Account References that are not stored as text</x:v>
      </x:c>
      <x:c r="C19" s="607" t="str">
        <x:v>Valid Text ID / Review Type</x:v>
      </x:c>
      <x:c r="D19" s="886" t="str">
        <x:v>Not Started</x:v>
      </x:c>
      <x:c r="E19" s="355"/>
      <x:c r="F19" s="519"/>
      <x:c r="G19" s="519"/>
      <x:c r="H19" s="519"/>
    </x:row>
    <x:row r="20" ht="32" customHeight="1">
      <x:c r="A20" s="631" t="n">
        <x:v>6</x:v>
      </x:c>
      <x:c r="B20" s="600" t="str">
        <x:v>Create Year and Month reporting fields from Start Date</x:v>
      </x:c>
      <x:c r="C20" s="607" t="str">
        <x:v>Year + Month label</x:v>
      </x:c>
      <x:c r="D20" s="886" t="str">
        <x:v>Not Started</x:v>
      </x:c>
      <x:c r="E20" s="355"/>
      <x:c r="F20" s="519"/>
      <x:c r="G20" s="519"/>
      <x:c r="H20" s="519"/>
    </x:row>
    <x:row r="21" ht="32" customHeight="1">
      <x:c r="A21" s="631" t="n">
        <x:v>7</x:v>
      </x:c>
      <x:c r="B21" s="600" t="str">
        <x:v>Calculate working days from Start Date to Close Date</x:v>
      </x:c>
      <x:c r="C21" s="607" t="str">
        <x:v>Business-day duration</x:v>
      </x:c>
      <x:c r="D21" s="886" t="str">
        <x:v>Not Started</x:v>
      </x:c>
      <x:c r="E21" s="355"/>
      <x:c r="F21" s="355"/>
      <x:c r="G21" s="355"/>
      <x:c r="H21" s="355"/>
    </x:row>
    <x:row r="22" ht="32" customHeight="1">
      <x:c r="A22" s="631" t="n">
        <x:v>8</x:v>
      </x:c>
      <x:c r="B22" s="600" t="str">
        <x:v>Classify each order as On Time or Late</x:v>
      </x:c>
      <x:c r="C22" s="607" t="str">
        <x:v>SLA Status</x:v>
      </x:c>
      <x:c r="D22" s="886" t="str">
        <x:v>Not Started</x:v>
      </x:c>
      <x:c r="E22" s="355"/>
      <x:c r="F22" s="1045" t="str">
        <x:v>BRIDGE TO DAY 2
Tomorrow: Power Query turns this repeated cleaning logic into a refreshable process.</x:v>
      </x:c>
      <x:c r="G22" s="1045"/>
      <x:c r="H22" s="1045"/>
    </x:row>
    <x:row r="23" ht="32" customHeight="1">
      <x:c r="A23" s="633" t="n">
        <x:v>9</x:v>
      </x:c>
      <x:c r="B23" s="602" t="str">
        <x:v>BONUS: if a Composite Key is incomplete, return 'Check format' instead of an error</x:v>
      </x:c>
      <x:c r="C23" s="608" t="str">
        <x:v>Robust output</x:v>
      </x:c>
      <x:c r="D23" s="888" t="str">
        <x:v>Not Started</x:v>
      </x:c>
      <x:c r="E23" s="355"/>
      <x:c r="F23" s="1045"/>
      <x:c r="G23" s="1045"/>
      <x:c r="H23" s="1045"/>
    </x:row>
    <x:row r="24">
      <x:c r="A24" s="355"/>
      <x:c r="B24" s="355"/>
      <x:c r="C24" s="355"/>
      <x:c r="D24" s="355"/>
      <x:c r="E24" s="355"/>
      <x:c r="F24" s="1045"/>
      <x:c r="G24" s="1045"/>
      <x:c r="H24" s="1045"/>
    </x:row>
    <x:row r="25">
      <x:c r="A25" s="355"/>
      <x:c r="B25" s="355"/>
      <x:c r="C25" s="355"/>
      <x:c r="D25" s="355"/>
      <x:c r="E25" s="355"/>
      <x:c r="F25" s="355"/>
      <x:c r="G25" s="355"/>
      <x:c r="H25" s="355"/>
    </x:row>
    <x:row r="26">
      <x:c r="A26" s="355"/>
      <x:c r="B26" s="355"/>
      <x:c r="C26" s="355"/>
      <x:c r="D26" s="355"/>
      <x:c r="E26" s="355"/>
      <x:c r="F26" s="355"/>
      <x:c r="G26" s="355"/>
      <x:c r="H26" s="355"/>
    </x:row>
    <x:row r="27">
      <x:c r="A27" s="355"/>
      <x:c r="B27" s="355"/>
      <x:c r="C27" s="355"/>
      <x:c r="D27" s="355"/>
      <x:c r="E27" s="355"/>
      <x:c r="F27" s="355"/>
      <x:c r="G27" s="355"/>
      <x:c r="H27" s="355"/>
    </x:row>
    <x:row r="28">
      <x:c r="A28" s="355"/>
      <x:c r="B28" s="355"/>
      <x:c r="C28" s="355"/>
      <x:c r="D28" s="355"/>
      <x:c r="E28" s="355"/>
      <x:c r="F28" s="355"/>
      <x:c r="G28" s="355"/>
      <x:c r="H28" s="355"/>
    </x:row>
    <x:row r="29">
      <x:c r="A29" s="355"/>
      <x:c r="B29" s="355"/>
      <x:c r="C29" s="355"/>
      <x:c r="D29" s="355"/>
      <x:c r="E29" s="355"/>
      <x:c r="F29" s="355"/>
      <x:c r="G29" s="355"/>
      <x:c r="H29" s="355"/>
    </x:row>
    <x:row r="30">
      <x:c r="A30" s="355"/>
      <x:c r="B30" s="355"/>
      <x:c r="C30" s="355"/>
      <x:c r="D30" s="355"/>
      <x:c r="E30" s="355"/>
      <x:c r="F30" s="355"/>
      <x:c r="G30" s="355"/>
      <x:c r="H30" s="355"/>
    </x:row>
    <x:row r="31">
      <x:c r="A31" s="355"/>
      <x:c r="B31" s="355"/>
      <x:c r="C31" s="355"/>
      <x:c r="D31" s="355"/>
      <x:c r="E31" s="355"/>
      <x:c r="F31" s="355"/>
      <x:c r="G31" s="355"/>
      <x:c r="H31" s="355"/>
    </x:row>
    <x:row r="32">
      <x:c r="A32" s="355"/>
      <x:c r="B32" s="355"/>
      <x:c r="C32" s="355"/>
      <x:c r="D32" s="355"/>
      <x:c r="E32" s="355"/>
      <x:c r="F32" s="355"/>
      <x:c r="G32" s="355"/>
      <x:c r="H32" s="355"/>
    </x:row>
    <x:row r="33">
      <x:c r="A33" s="355"/>
      <x:c r="B33" s="355"/>
      <x:c r="C33" s="355"/>
      <x:c r="D33" s="355"/>
      <x:c r="E33" s="355"/>
      <x:c r="F33" s="355"/>
      <x:c r="G33" s="355"/>
      <x:c r="H33" s="355"/>
    </x:row>
    <x:row r="34">
      <x:c r="A34" s="355"/>
      <x:c r="B34" s="355"/>
      <x:c r="C34" s="355"/>
      <x:c r="D34" s="355"/>
      <x:c r="E34" s="355"/>
      <x:c r="F34" s="355"/>
      <x:c r="G34" s="355"/>
      <x:c r="H34" s="355"/>
    </x:row>
  </x:sheetData>
  <x:mergeCells>
    <x:mergeCell ref="A1:H2"/>
    <x:mergeCell ref="A3:H3"/>
    <x:mergeCell ref="A5:H6"/>
    <x:mergeCell ref="A7:H8"/>
    <x:mergeCell ref="A10:H11"/>
    <x:mergeCell ref="F14:H16"/>
    <x:mergeCell ref="F18:H20"/>
    <x:mergeCell ref="F22:H24"/>
  </x:mergeCells>
  <x:dataValidations count="1">
    <x:dataValidation type="list" sqref="D15:D23">
      <x:formula1>"Not Started,In Progress,Done"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58" hidden="0" customWidth="1"/>
    <x:col min="3" max="3" width="48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</x:cols>
  <x:sheetData>
    <x:row r="1">
      <x:c r="A1" s="666" t="str">
        <x:v>ANSWER PATTERNS  •  TRAINER REFERENCE</x:v>
      </x:c>
      <x:c r="B1" s="666"/>
      <x:c r="C1" s="666"/>
      <x:c r="D1" s="666"/>
      <x:c r="E1" s="666"/>
      <x:c r="F1" s="666"/>
      <x:c r="G1" s="759"/>
    </x:row>
    <x:row r="2">
      <x:c r="A2" s="666"/>
      <x:c r="B2" s="666"/>
      <x:c r="C2" s="666"/>
      <x:c r="D2" s="666"/>
      <x:c r="E2" s="666"/>
      <x:c r="F2" s="666"/>
      <x:c r="G2" s="759"/>
    </x:row>
    <x:row r="3">
      <x:c r="A3" s="371" t="str">
        <x:v>مرجع للمدرب • يُكشف بعد المحاولة وليس للحفظ</x:v>
      </x:c>
      <x:c r="B3" s="371"/>
      <x:c r="C3" s="371"/>
      <x:c r="D3" s="371"/>
      <x:c r="E3" s="371"/>
      <x:c r="F3" s="371"/>
      <x:c r="G3" s="371"/>
    </x:row>
    <x:row r="4" ht="6" customHeight="1">
      <x:c r="A4" s="355"/>
      <x:c r="B4" s="355"/>
      <x:c r="C4" s="355"/>
      <x:c r="D4" s="355"/>
      <x:c r="E4" s="355"/>
      <x:c r="F4" s="355"/>
      <x:c r="G4" s="355"/>
    </x:row>
    <x:row r="5">
      <x:c r="A5" s="620" t="str">
        <x:v>Patterns use descriptive names so the learner focuses on logic rather than memorizing one cell address.</x:v>
      </x:c>
      <x:c r="B5" s="620"/>
      <x:c r="C5" s="620"/>
      <x:c r="D5" s="355"/>
      <x:c r="E5" s="355"/>
      <x:c r="F5" s="355"/>
      <x:c r="G5" s="355"/>
    </x:row>
    <x:row r="6">
      <x:c r="A6" s="1046"/>
      <x:c r="B6" s="1047"/>
      <x:c r="C6" s="620"/>
      <x:c r="D6" s="355"/>
      <x:c r="E6" s="355"/>
      <x:c r="F6" s="355"/>
      <x:c r="G6" s="355"/>
    </x:row>
    <x:row r="7">
      <x:c r="A7" s="655"/>
      <x:c r="B7" s="658"/>
      <x:c r="C7" s="355"/>
      <x:c r="D7" s="355"/>
      <x:c r="E7" s="355"/>
      <x:c r="F7" s="355"/>
      <x:c r="G7" s="355"/>
    </x:row>
    <x:row r="8" ht="32" customHeight="1">
      <x:c r="A8" s="569" t="str">
        <x:v>TASK</x:v>
      </x:c>
      <x:c r="B8" s="571" t="str">
        <x:v>FORMULA PATTERN</x:v>
      </x:c>
      <x:c r="C8" s="572" t="str">
        <x:v>TEACHING NOTE</x:v>
      </x:c>
      <x:c r="D8" s="355"/>
      <x:c r="E8" s="355"/>
      <x:c r="F8" s="355"/>
      <x:c r="G8" s="355"/>
    </x:row>
    <x:row r="9" ht="32" customHeight="1">
      <x:c r="A9" s="582" t="str">
        <x:v>Region</x:v>
      </x:c>
      <x:c r="B9" s="1059" t="str">
        <x:f>"=TEXTBEFORE(CompositeKey,""|"")"</x:f>
        <x:v>=TEXTBEFORE(CompositeKey,"|")</x:v>
      </x:c>
      <x:c r="C9" s="597" t="str">
        <x:v>First field before the first delimiter.</x:v>
      </x:c>
      <x:c r="D9" s="355"/>
      <x:c r="E9" s="355"/>
      <x:c r="F9" s="355"/>
      <x:c r="G9" s="355"/>
    </x:row>
    <x:row r="10" ht="32" customHeight="1">
      <x:c r="A10" s="587" t="str">
        <x:v>Service</x:v>
      </x:c>
      <x:c r="B10" s="1060" t="str">
        <x:f>"=TEXTBEFORE(TEXTAFTER(CompositeKey,""|""),""|"")"</x:f>
        <x:v>=TEXTBEFORE(TEXTAFTER(CompositeKey,"|"),"|")</x:v>
      </x:c>
      <x:c r="C10" s="598" t="str">
        <x:v>Peel one layer, then take the next field.</x:v>
      </x:c>
      <x:c r="D10" s="355"/>
      <x:c r="E10" s="355"/>
      <x:c r="F10" s="355"/>
      <x:c r="G10" s="355"/>
    </x:row>
    <x:row r="11" ht="32" customHeight="1">
      <x:c r="A11" s="587" t="str">
        <x:v>Customer ID</x:v>
      </x:c>
      <x:c r="B11" s="1060" t="str">
        <x:f>"=TEXTBEFORE(TEXTAFTER(CompositeKey,""|"",2),""|"")"</x:f>
        <x:v>=TEXTBEFORE(TEXTAFTER(CompositeKey,"|",2),"|")</x:v>
      </x:c>
      <x:c r="C11" s="598" t="str">
        <x:v>Use instance_num to jump to the second delimiter.</x:v>
      </x:c>
      <x:c r="D11" s="355"/>
      <x:c r="E11" s="355"/>
      <x:c r="F11" s="355"/>
      <x:c r="G11" s="355"/>
    </x:row>
    <x:row r="12" ht="32" customHeight="1">
      <x:c r="A12" s="587" t="str">
        <x:v>Order Type</x:v>
      </x:c>
      <x:c r="B12" s="1060" t="str">
        <x:f>"=TEXTAFTER(CompositeKey,""|"",3)"</x:f>
        <x:v>=TEXTAFTER(CompositeKey,"|",3)</x:v>
      </x:c>
      <x:c r="C12" s="598" t="str">
        <x:v>Everything after the third delimiter.</x:v>
      </x:c>
      <x:c r="D12" s="355"/>
      <x:c r="E12" s="355"/>
      <x:c r="F12" s="355"/>
      <x:c r="G12" s="355"/>
    </x:row>
    <x:row r="13" ht="32" customHeight="1">
      <x:c r="A13" s="587" t="str">
        <x:v>All components</x:v>
      </x:c>
      <x:c r="B13" s="1060" t="str">
        <x:f>"=TEXTSPLIT(CompositeKey,""|"")"</x:f>
        <x:v>=TEXTSPLIT(CompositeKey,"|")</x:v>
      </x:c>
      <x:c r="C13" s="598" t="str">
        <x:v>One formula; four outputs; horizontal spill.</x:v>
      </x:c>
      <x:c r="D13" s="355"/>
      <x:c r="E13" s="355"/>
      <x:c r="F13" s="355"/>
      <x:c r="G13" s="355"/>
    </x:row>
    <x:row r="14" ht="32" customHeight="1">
      <x:c r="A14" s="591" t="str">
        <x:v>Type check</x:v>
      </x:c>
      <x:c r="B14" s="1061" t="str">
        <x:f>"=IF(ISTEXT(AccountRef),""Valid Text ID"",""Review Type"")"</x:f>
        <x:v>=IF(ISTEXT(AccountRef),"Valid Text ID","Review Type")</x:v>
      </x:c>
      <x:c r="C14" s="598" t="str">
        <x:v>Translate a technical TRUE/FALSE into a business flag.</x:v>
      </x:c>
      <x:c r="D14" s="355"/>
      <x:c r="E14" s="355"/>
      <x:c r="F14" s="355"/>
      <x:c r="G14" s="355"/>
    </x:row>
    <x:row r="15" ht="32" customHeight="1">
      <x:c r="A15" s="599" t="str">
        <x:v>Year</x:v>
      </x:c>
      <x:c r="B15" s="1062" t="str">
        <x:f>"=YEAR(StartDate)"</x:f>
        <x:v>=YEAR(StartDate)</x:v>
      </x:c>
      <x:c r="C15" s="598" t="str">
        <x:v>Numeric reporting year.</x:v>
      </x:c>
      <x:c r="D15" s="355"/>
      <x:c r="E15" s="355"/>
      <x:c r="F15" s="355"/>
      <x:c r="G15" s="355"/>
    </x:row>
    <x:row r="16" ht="32" customHeight="1">
      <x:c r="A16" s="599" t="str">
        <x:v>Month label</x:v>
      </x:c>
      <x:c r="B16" s="1062" t="str">
        <x:f>"=TEXT(StartDate,""mmm"")"</x:f>
        <x:v>=TEXT(StartDate,"mmm")</x:v>
      </x:c>
      <x:c r="C16" s="598" t="str">
        <x:v>Readable label for reporting.</x:v>
      </x:c>
      <x:c r="D16" s="355"/>
      <x:c r="E16" s="355"/>
      <x:c r="F16" s="355"/>
      <x:c r="G16" s="355"/>
    </x:row>
    <x:row r="17" ht="32" customHeight="1">
      <x:c r="A17" s="599" t="str">
        <x:v>Business days</x:v>
      </x:c>
      <x:c r="B17" s="1062" t="str">
        <x:f>"=NETWORKDAYS(StartDate,CloseDate)"</x:f>
        <x:v>=NETWORKDAYS(StartDate,CloseDate)</x:v>
      </x:c>
      <x:c r="C17" s="598" t="str">
        <x:v>Default weekend logic is Saturday/Sunday.</x:v>
      </x:c>
      <x:c r="D17" s="355"/>
      <x:c r="E17" s="355"/>
      <x:c r="F17" s="355"/>
      <x:c r="G17" s="355"/>
    </x:row>
    <x:row r="18" ht="32" customHeight="1">
      <x:c r="A18" s="599" t="str">
        <x:v>SLA status</x:v>
      </x:c>
      <x:c r="B18" s="1062" t="str">
        <x:f>"=IF(CloseDate&lt;=DueDate,""On Time"",""Late"")"</x:f>
        <x:v>=IF(CloseDate&lt;=DueDate,"On Time","Late")</x:v>
      </x:c>
      <x:c r="C18" s="598" t="str">
        <x:v>Reinforce IF from Module 01.</x:v>
      </x:c>
      <x:c r="D18" s="355"/>
      <x:c r="E18" s="355"/>
      <x:c r="F18" s="355"/>
      <x:c r="G18" s="355"/>
    </x:row>
    <x:row r="19" ht="32" customHeight="1">
      <x:c r="A19" s="601" t="str">
        <x:v>Robust text parse</x:v>
      </x:c>
      <x:c r="B19" s="1063" t="str">
        <x:f>"=IFERROR(TEXTAFTER(CompositeKey,""|"",3),""Check format"")"</x:f>
        <x:v>=IFERROR(TEXTAFTER(CompositeKey,"|",3),"Check format")</x:v>
      </x:c>
      <x:c r="C19" s="603" t="str">
        <x:v>Use IFERROR only for a known structural risk.</x:v>
      </x:c>
      <x:c r="D19" s="355"/>
      <x:c r="E19" s="355"/>
      <x:c r="F19" s="355"/>
      <x:c r="G19" s="355"/>
    </x:row>
    <x:row r="20">
      <x:c r="A20" s="355"/>
      <x:c r="B20" s="355"/>
      <x:c r="C20" s="355"/>
      <x:c r="D20" s="355"/>
      <x:c r="E20" s="355"/>
      <x:c r="F20" s="355"/>
      <x:c r="G20" s="355"/>
    </x:row>
    <x:row r="21">
      <x:c r="A21" s="355"/>
      <x:c r="B21" s="355"/>
      <x:c r="C21" s="355"/>
      <x:c r="D21" s="355"/>
      <x:c r="E21" s="355"/>
      <x:c r="F21" s="355"/>
      <x:c r="G21" s="355"/>
    </x:row>
    <x:row r="22">
      <x:c r="A22" s="355"/>
      <x:c r="B22" s="355"/>
      <x:c r="C22" s="355"/>
      <x:c r="D22" s="355"/>
      <x:c r="E22" s="355"/>
      <x:c r="F22" s="355"/>
      <x:c r="G22" s="355"/>
    </x:row>
    <x:row r="23">
      <x:c r="A23" s="355"/>
      <x:c r="B23" s="355"/>
      <x:c r="C23" s="355"/>
      <x:c r="D23" s="355"/>
      <x:c r="E23" s="355"/>
      <x:c r="F23" s="355"/>
      <x:c r="G23" s="355"/>
    </x:row>
    <x:row r="24">
      <x:c r="A24" s="355"/>
      <x:c r="B24" s="355"/>
      <x:c r="C24" s="355"/>
      <x:c r="D24" s="355"/>
      <x:c r="E24" s="355"/>
      <x:c r="F24" s="355"/>
      <x:c r="G24" s="355"/>
    </x:row>
    <x:row r="25">
      <x:c r="A25" s="355"/>
      <x:c r="B25" s="355"/>
      <x:c r="C25" s="355"/>
      <x:c r="D25" s="355"/>
      <x:c r="E25" s="355"/>
      <x:c r="F25" s="355"/>
      <x:c r="G25" s="355"/>
    </x:row>
    <x:row r="26">
      <x:c r="A26" s="355"/>
      <x:c r="B26" s="355"/>
      <x:c r="C26" s="355"/>
      <x:c r="D26" s="355"/>
      <x:c r="E26" s="355"/>
      <x:c r="F26" s="355"/>
      <x:c r="G26" s="355"/>
    </x:row>
    <x:row r="27">
      <x:c r="A27" s="355"/>
      <x:c r="B27" s="355"/>
      <x:c r="C27" s="355"/>
      <x:c r="D27" s="355"/>
      <x:c r="E27" s="355"/>
      <x:c r="F27" s="355"/>
      <x:c r="G27" s="355"/>
    </x:row>
    <x:row r="28">
      <x:c r="A28" s="355"/>
      <x:c r="B28" s="355"/>
      <x:c r="C28" s="355"/>
      <x:c r="D28" s="355"/>
      <x:c r="E28" s="355"/>
      <x:c r="F28" s="355"/>
      <x:c r="G28" s="355"/>
    </x:row>
  </x:sheetData>
  <x:mergeCells>
    <x:mergeCell ref="A1:G2"/>
    <x:mergeCell ref="A3:G3"/>
    <x:mergeCell ref="A5:C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4" hidden="0" customWidth="1"/>
    <x:col min="3" max="3" width="35" hidden="0" customWidth="1"/>
    <x:col min="4" max="4" width="52" hidden="0" customWidth="1"/>
    <x:col min="5" max="5" width="38" hidden="0" customWidth="1"/>
    <x:col min="6" max="6" width="4" hidden="0" customWidth="1"/>
  </x:cols>
  <x:sheetData>
    <x:row r="1">
      <x:c r="A1" s="666" t="str">
        <x:v>TRAINER FLOW  •  MODULE 03  •  165 MIN</x:v>
      </x:c>
      <x:c r="B1" s="666"/>
      <x:c r="C1" s="666"/>
      <x:c r="D1" s="666"/>
      <x:c r="E1" s="666"/>
      <x:c r="F1" s="759"/>
    </x:row>
    <x:row r="2">
      <x:c r="A2" s="666"/>
      <x:c r="B2" s="666"/>
      <x:c r="C2" s="666"/>
      <x:c r="D2" s="666"/>
      <x:c r="E2" s="666"/>
      <x:c r="F2" s="759"/>
    </x:row>
    <x:row r="3">
      <x:c r="A3" s="371" t="str">
        <x:v>Guide وليس Script • الهدف هو الإيقاع، الأسئلة، ولحظات الكشف</x:v>
      </x:c>
      <x:c r="B3" s="371"/>
      <x:c r="C3" s="371"/>
      <x:c r="D3" s="371"/>
      <x:c r="E3" s="371"/>
      <x:c r="F3" s="371"/>
    </x:row>
    <x:row r="4" ht="6" customHeight="1">
      <x:c r="A4" s="355"/>
      <x:c r="B4" s="355"/>
      <x:c r="C4" s="355"/>
      <x:c r="D4" s="355"/>
      <x:c r="E4" s="355"/>
      <x:c r="F4" s="355"/>
    </x:row>
    <x:row r="5">
      <x:c r="A5" s="355"/>
      <x:c r="B5" s="355"/>
      <x:c r="C5" s="355"/>
      <x:c r="D5" s="355"/>
      <x:c r="E5" s="355"/>
      <x:c r="F5" s="355"/>
    </x:row>
    <x:row r="6" ht="40" customHeight="1">
      <x:c r="A6" s="569" t="str">
        <x:v>MINUTE</x:v>
      </x:c>
      <x:c r="B6" s="570" t="str">
        <x:v>FOCUS</x:v>
      </x:c>
      <x:c r="C6" s="571" t="str">
        <x:v>TRAINER MOVE</x:v>
      </x:c>
      <x:c r="D6" s="570" t="str">
        <x:v>ASK / REVEAL</x:v>
      </x:c>
      <x:c r="E6" s="572" t="str">
        <x:v>LEARNER ACTION</x:v>
      </x:c>
      <x:c r="F6" s="355"/>
    </x:row>
    <x:row r="7" ht="40" customHeight="1">
      <x:c r="A7" s="1084" t="str">
        <x:v>00–10</x:v>
      </x:c>
      <x:c r="B7" s="583" t="str">
        <x:v>Messy feed story</x:v>
      </x:c>
      <x:c r="C7" s="585" t="str">
        <x:v>Open 02_RAW_DATA only. Do not clean anything yet.</x:v>
      </x:c>
      <x:c r="D7" s="1097" t="str">
        <x:v>لو المدير طلب Region + Service + SLA الآن، وين المشكلة؟</x:v>
      </x:c>
      <x:c r="E7" s="597" t="str">
        <x:v>Identify pain points</x:v>
      </x:c>
      <x:c r="F7" s="355"/>
    </x:row>
    <x:row r="8" ht="40" customHeight="1">
      <x:c r="A8" s="1085" t="str">
        <x:v>10–25</x:v>
      </x:c>
      <x:c r="B8" s="588" t="str">
        <x:v>Text quick win</x:v>
      </x:c>
      <x:c r="C8" s="576" t="str">
        <x:v>Use one Composite Key and reveal TEXTBEFORE / TEXTAFTER.</x:v>
      </x:c>
      <x:c r="D8" s="1098" t="str">
        <x:v>شو هو الفاصل؟ وأي occurrence بدنا؟</x:v>
      </x:c>
      <x:c r="E8" s="598" t="str">
        <x:v>Predict formula result</x:v>
      </x:c>
      <x:c r="F8" s="355"/>
    </x:row>
    <x:row r="9" ht="40" customHeight="1">
      <x:c r="A9" s="1085" t="str">
        <x:v>25–50</x:v>
      </x:c>
      <x:c r="B9" s="588" t="str">
        <x:v>Text practice</x:v>
      </x:c>
      <x:c r="C9" s="576" t="str">
        <x:v>Demo first 3 rows, then release the yellow practice area.</x:v>
      </x:c>
      <x:c r="D9" s="1098" t="str">
        <x:v>ليش TEXTAFTER لحالها ما بتكفي لاستخراج Service؟</x:v>
      </x:c>
      <x:c r="E9" s="598" t="str">
        <x:v>Build and fill formulas</x:v>
      </x:c>
      <x:c r="F9" s="355"/>
    </x:row>
    <x:row r="10" ht="40" customHeight="1">
      <x:c r="A10" s="1085" t="str">
        <x:v>50–60</x:v>
      </x:c>
      <x:c r="B10" s="588" t="str">
        <x:v>TEXTSPLIT reveal</x:v>
      </x:c>
      <x:c r="C10" s="576" t="str">
        <x:v>One formula in I26. Compare with manual Text to Columns.</x:v>
      </x:c>
      <x:c r="D10" s="1098" t="str">
        <x:v>شو الفرق بين نسخة static وdynamic؟</x:v>
      </x:c>
      <x:c r="E10" s="598" t="str">
        <x:v>Create horizontal spill</x:v>
      </x:c>
      <x:c r="F10" s="355"/>
    </x:row>
    <x:row r="11" ht="40" customHeight="1">
      <x:c r="A11" s="1085" t="str">
        <x:v>60–80</x:v>
      </x:c>
      <x:c r="B11" s="588" t="str">
        <x:v>Data-type trap</x:v>
      </x:c>
      <x:c r="C11" s="576" t="str">
        <x:v>Find numeric Account References before revealing ISTEXT.</x:v>
      </x:c>
      <x:c r="D11" s="1098" t="str">
        <x:v>القيمة شكلها ID... Excel شايفها شو؟</x:v>
      </x:c>
      <x:c r="E11" s="598" t="str">
        <x:v>Diagnose mixed types</x:v>
      </x:c>
      <x:c r="F11" s="355"/>
    </x:row>
    <x:row r="12" ht="40" customHeight="1">
      <x:c r="A12" s="1085" t="str">
        <x:v>80–100</x:v>
      </x:c>
      <x:c r="B12" s="588" t="str">
        <x:v>Quality practice</x:v>
      </x:c>
      <x:c r="C12" s="576" t="str">
        <x:v>Translate TRUE/FALSE into a business-friendly flag.</x:v>
      </x:c>
      <x:c r="D12" s="1098" t="str">
        <x:v>هل ISNONTEXT يعني Number فقط؟</x:v>
      </x:c>
      <x:c r="E12" s="598" t="str">
        <x:v>Build type checks</x:v>
      </x:c>
      <x:c r="F12" s="355"/>
    </x:row>
    <x:row r="13" ht="40" customHeight="1">
      <x:c r="A13" s="1085" t="str">
        <x:v>100–115</x:v>
      </x:c>
      <x:c r="B13" s="588" t="str">
        <x:v>Calendar-day pain</x:v>
      </x:c>
      <x:c r="C13" s="576" t="str">
        <x:v>Use the Jan 22 → Jan 26 example.</x:v>
      </x:c>
      <x:c r="D13" s="1098" t="str">
        <x:v>Close-Start وNETWORKDAYS بجاوبوا نفس السؤال؟</x:v>
      </x:c>
      <x:c r="E13" s="598" t="str">
        <x:v>Explain the difference</x:v>
      </x:c>
      <x:c r="F13" s="355"/>
    </x:row>
    <x:row r="14" ht="40" customHeight="1">
      <x:c r="A14" s="1085" t="str">
        <x:v>115–140</x:v>
      </x:c>
      <x:c r="B14" s="588" t="str">
        <x:v>Date lab</x:v>
      </x:c>
      <x:c r="C14" s="576" t="str">
        <x:v>Build Year, Month, NETWORKDAYS and SLA status.</x:v>
      </x:c>
      <x:c r="D14" s="1098" t="str">
        <x:v>متى TODAY() مناسب ومتى لا؟</x:v>
      </x:c>
      <x:c r="E14" s="598" t="str">
        <x:v>Complete practice rows</x:v>
      </x:c>
      <x:c r="F14" s="355"/>
    </x:row>
    <x:row r="15" ht="40" customHeight="1">
      <x:c r="A15" s="1086" t="str">
        <x:v>140–160</x:v>
      </x:c>
      <x:c r="B15" s="579" t="str">
        <x:v>2:50 PM challenge</x:v>
      </x:c>
      <x:c r="C15" s="581" t="str">
        <x:v>Pairs. Logic first, formula second. Do not reveal answer key.</x:v>
      </x:c>
      <x:c r="D15" s="1098" t="str">
        <x:v>كل فريق يشرح قاعدة واحدة بصوت عالي.</x:v>
      </x:c>
      <x:c r="E15" s="598" t="str">
        <x:v>Complete integrated case</x:v>
      </x:c>
      <x:c r="F15" s="355"/>
    </x:row>
    <x:row r="16" ht="40" customHeight="1">
      <x:c r="A16" s="1087" t="str">
        <x:v>160–165</x:v>
      </x:c>
      <x:c r="B16" s="602" t="str">
        <x:v>Debrief + bridge</x:v>
      </x:c>
      <x:c r="C16" s="602" t="str">
        <x:v>Ask what should be automated when a new file arrives tomorrow.</x:v>
      </x:c>
      <x:c r="D16" s="1099" t="str">
        <x:v>شو الخطوة اللي ما بدك تعيدها يدوياً؟</x:v>
      </x:c>
      <x:c r="E16" s="603" t="str">
        <x:v>Connect to Power Query</x:v>
      </x:c>
      <x:c r="F16" s="355"/>
    </x:row>
    <x:row r="17">
      <x:c r="A17" s="355"/>
      <x:c r="B17" s="355"/>
      <x:c r="C17" s="355"/>
      <x:c r="D17" s="355"/>
      <x:c r="E17" s="355"/>
      <x:c r="F17" s="355"/>
    </x:row>
    <x:row r="18">
      <x:c r="A18" s="355"/>
      <x:c r="B18" s="355"/>
      <x:c r="C18" s="355"/>
      <x:c r="D18" s="355"/>
      <x:c r="E18" s="355"/>
      <x:c r="F18" s="355"/>
    </x:row>
    <x:row r="19">
      <x:c r="A19" s="1045" t="str">
        <x:v>FACILITATION PRINCIPLE  •  Never start with syntax. Make them feel the data problem, show a fast result, then unpack why the formula works.</x:v>
      </x:c>
      <x:c r="B19" s="1045"/>
      <x:c r="C19" s="1045"/>
      <x:c r="D19" s="1045"/>
      <x:c r="E19" s="1045"/>
      <x:c r="F19" s="355"/>
    </x:row>
    <x:row r="20">
      <x:c r="A20" s="1045"/>
      <x:c r="B20" s="1045"/>
      <x:c r="C20" s="1045"/>
      <x:c r="D20" s="1045"/>
      <x:c r="E20" s="1045"/>
      <x:c r="F20" s="355"/>
    </x:row>
    <x:row r="21">
      <x:c r="A21" s="355"/>
      <x:c r="B21" s="355"/>
      <x:c r="C21" s="355"/>
      <x:c r="D21" s="355"/>
      <x:c r="E21" s="355"/>
      <x:c r="F21" s="355"/>
    </x:row>
    <x:row r="22">
      <x:c r="A22" s="355"/>
      <x:c r="B22" s="355"/>
      <x:c r="C22" s="355"/>
      <x:c r="D22" s="355"/>
      <x:c r="E22" s="355"/>
      <x:c r="F22" s="355"/>
    </x:row>
    <x:row r="23">
      <x:c r="A23" s="355"/>
      <x:c r="B23" s="355"/>
      <x:c r="C23" s="355"/>
      <x:c r="D23" s="355"/>
      <x:c r="E23" s="355"/>
      <x:c r="F23" s="355"/>
    </x:row>
    <x:row r="24">
      <x:c r="A24" s="355"/>
      <x:c r="B24" s="355"/>
      <x:c r="C24" s="355"/>
      <x:c r="D24" s="355"/>
      <x:c r="E24" s="355"/>
      <x:c r="F24" s="355"/>
    </x:row>
    <x:row r="25">
      <x:c r="A25" s="355"/>
      <x:c r="B25" s="355"/>
      <x:c r="C25" s="355"/>
      <x:c r="D25" s="355"/>
      <x:c r="E25" s="355"/>
      <x:c r="F25" s="355"/>
    </x:row>
    <x:row r="26">
      <x:c r="A26" s="355"/>
      <x:c r="B26" s="355"/>
      <x:c r="C26" s="355"/>
      <x:c r="D26" s="355"/>
      <x:c r="E26" s="355"/>
      <x:c r="F26" s="355"/>
    </x:row>
    <x:row r="27">
      <x:c r="A27" s="355"/>
      <x:c r="B27" s="355"/>
      <x:c r="C27" s="355"/>
      <x:c r="D27" s="355"/>
      <x:c r="E27" s="355"/>
      <x:c r="F27" s="355"/>
    </x:row>
    <x:row r="28">
      <x:c r="A28" s="355"/>
      <x:c r="B28" s="355"/>
      <x:c r="C28" s="355"/>
      <x:c r="D28" s="355"/>
      <x:c r="E28" s="355"/>
      <x:c r="F28" s="355"/>
    </x:row>
  </x:sheetData>
  <x:mergeCells>
    <x:mergeCell ref="A1:F2"/>
    <x:mergeCell ref="A3:F3"/>
    <x:mergeCell ref="A19:E20"/>
  </x:mergeCells>
  <x:pageMargins left="0.7" right="0.7" top="0.75" bottom="0.75" header="0.3" footer="0.3"/>
</x:worksheet>
</file>