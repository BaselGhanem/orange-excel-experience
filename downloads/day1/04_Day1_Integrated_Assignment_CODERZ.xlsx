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8ece0bf5c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f087ab5f913a4b76"/>
    <x:sheet xmlns:r="http://schemas.openxmlformats.org/officeDocument/2006/relationships" name="01_ASSIGNMENT_BRIEF" sheetId="2" r:id="Reeb6cfcf1d84415e"/>
    <x:sheet xmlns:r="http://schemas.openxmlformats.org/officeDocument/2006/relationships" name="02_CUSTOMER_MASTER" sheetId="3" r:id="Rd102254391d74f7e"/>
    <x:sheet xmlns:r="http://schemas.openxmlformats.org/officeDocument/2006/relationships" name="03_ORDER_FEED" sheetId="4" r:id="Re96475f8be804d2e"/>
    <x:sheet xmlns:r="http://schemas.openxmlformats.org/officeDocument/2006/relationships" name="04_WORKSPACE_A" sheetId="5" r:id="R5f6b098b2cb74a4a"/>
    <x:sheet xmlns:r="http://schemas.openxmlformats.org/officeDocument/2006/relationships" name="05_WORKSPACE_B" sheetId="6" r:id="R169435c6b8c54bc3"/>
    <x:sheet xmlns:r="http://schemas.openxmlformats.org/officeDocument/2006/relationships" name="06_MANAGEMENT_CONSOLE" sheetId="7" r:id="Rec5b7a8657294aef"/>
    <x:sheet xmlns:r="http://schemas.openxmlformats.org/officeDocument/2006/relationships" name="07_ANSWER_KEY" sheetId="8" r:id="R2f74905a30014dea"/>
    <x:sheet xmlns:r="http://schemas.openxmlformats.org/officeDocument/2006/relationships" name="08_TRAINER_CHECK" sheetId="9" r:id="Rc37814805cec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 &quot;JOD&quot;"/>
    <x:numFmt numFmtId="201" formatCode="dd-mmm-yyyy"/>
    <x:numFmt numFmtId="202" formatCode="0"/>
    <x:numFmt numFmtId="203" formatCode="0.0%"/>
    <x:numFmt numFmtId="204" formatCode="0.00x"/>
    <x:numFmt numFmtId="205" formatCode="#,##0.00"/>
  </x:numFmts>
  <x:fonts count="23">
    <x:font>
      <x:sz val="11"/>
      <x:name val="Carlito"/>
    </x:font>
    <x:font>
      <x:sz val="10"/>
      <x:color rgb="FF25313B"/>
      <x:name val="Aptos"/>
    </x:font>
    <x:font>
      <x:b/>
      <x:sz val="20"/>
      <x:color rgb="FFFFFFFF"/>
      <x:name val="Aptos"/>
    </x:font>
    <x:font>
      <x:b/>
      <x:sz val="10"/>
      <x:color rgb="FFFF7900"/>
      <x:name val="Arial"/>
    </x:font>
    <x:font>
      <x:b/>
      <x:sz val="11"/>
      <x:color rgb="FF25313B"/>
      <x:name val="Aptos"/>
    </x:font>
    <x:font>
      <x:b/>
      <x:sz val="10"/>
      <x:color rgb="FFFFFFFF"/>
      <x:name val="Aptos"/>
    </x:font>
    <x:font>
      <x:b/>
      <x:sz val="11"/>
      <x:color rgb="FF147EEA"/>
      <x:name val="Aptos"/>
    </x:font>
    <x:font>
      <x:b/>
      <x:sz val="11"/>
      <x:color rgb="FFFF7900"/>
      <x:name val="Aptos"/>
    </x:font>
    <x:font>
      <x:b/>
      <x:sz val="11"/>
      <x:color rgb="FF50BE87"/>
      <x:name val="Aptos"/>
    </x:font>
    <x:font>
      <x:b/>
      <x:sz val="11"/>
      <x:color rgb="FF374550"/>
      <x:name val="Aptos"/>
    </x:font>
    <x:font>
      <x:b/>
      <x:sz val="11"/>
      <x:color rgb="FFA885D8"/>
      <x:name val="Aptos"/>
    </x:font>
    <x:font>
      <x:b/>
      <x:sz val="9"/>
      <x:color rgb="FF6B7782"/>
      <x:name val="Aptos"/>
    </x:font>
    <x:font>
      <x:b/>
      <x:sz val="18"/>
      <x:color rgb="FFFFFFFF"/>
      <x:name val="Aptos"/>
    </x:font>
    <x:font>
      <x:b/>
      <x:sz val="10"/>
      <x:color rgb="FF147EEA"/>
      <x:name val="Aptos"/>
    </x:font>
    <x:font>
      <x:b/>
      <x:sz val="9"/>
      <x:color rgb="FFFF7900"/>
      <x:name val="Arial"/>
    </x:font>
    <x:font>
      <x:b/>
      <x:sz val="10"/>
      <x:color rgb="FF25313B"/>
      <x:name val="Aptos"/>
    </x:font>
    <x:font>
      <x:b/>
      <x:sz val="9"/>
      <x:color rgb="FFFFFFFF"/>
      <x:name val="Aptos"/>
    </x:font>
    <x:font>
      <x:sz val="9"/>
      <x:color rgb="FF25313B"/>
      <x:name val="Aptos"/>
    </x:font>
    <x:font>
      <x:b/>
      <x:sz val="9"/>
      <x:color rgb="FF147EEA"/>
      <x:name val="Aptos"/>
    </x:font>
    <x:font>
      <x:b/>
      <x:sz val="17"/>
      <x:color rgb="FFFFFFFF"/>
      <x:name val="Aptos"/>
    </x:font>
    <x:font>
      <x:b/>
      <x:sz val="9"/>
      <x:color rgb="FF25313B"/>
      <x:name val="Aptos"/>
    </x:font>
    <x:font>
      <x:sz val="9"/>
      <x:color rgb="FF25313B"/>
      <x:name val="Consolas"/>
    </x:font>
    <x:font>
      <x:b/>
      <x:sz val="12"/>
      <x:color rgb="FF50BE87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E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EAF8F1"/>
      </x:patternFill>
    </x:fill>
    <x:fill>
      <x:patternFill patternType="solid">
        <x:fgColor rgb="FFFAFBFC"/>
      </x:patternFill>
    </x:fill>
    <x:fill>
      <x:patternFill patternType="solid">
        <x:fgColor rgb="FFF3EFFB"/>
      </x:patternFill>
    </x:fill>
    <x:fill>
      <x:patternFill patternType="solid">
        <x:fgColor rgb="FFFFF7CC"/>
      </x:patternFill>
    </x:fill>
    <x:fill>
      <x:patternFill patternType="solid">
        <x:fgColor rgb="FFFFFBEA"/>
      </x:patternFill>
    </x:fill>
    <x:fill>
      <x:patternFill patternType="solid">
        <x:fgColor rgb="FF374550"/>
      </x:patternFill>
    </x:fill>
    <x:fill>
      <x:patternFill patternType="solid">
        <x:fgColor rgb="FFFFF3E8"/>
      </x:patternFill>
    </x:fill>
    <x:fill>
      <x:patternFill patternType="solid">
        <x:fgColor rgb="FFEEF6FE"/>
      </x:patternFill>
    </x:fill>
    <x:fill>
      <x:patternFill patternType="solid">
        <x:fgColor rgb="FFFFF7CC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</x:border>
    <x:border>
      <x:right/>
    </x:border>
    <x:border>
      <x:left/>
      <x:top/>
      <x:bottom/>
    </x:border>
    <x:border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horizontal="left" vertical="center" wrapText="1"/>
    </x:xf>
    <x:xf numFmtId="0" fontId="13" fillId="6" borderId="1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horizontal="left" vertical="center" wrapText="1"/>
    </x:xf>
    <x:xf numFmtId="0" fontId="13" fillId="6" borderId="2" xfId="0" applyNumberFormat="1" applyFont="1" applyFill="1" applyBorder="1" applyAlignment="1">
      <x:alignment horizontal="left" vertical="center" wrapText="1"/>
    </x:xf>
    <x:xf numFmtId="0" fontId="13" fillId="6" borderId="3" xfId="0" applyNumberFormat="1" applyFont="1" applyFill="1" applyBorder="1" applyAlignment="1">
      <x:alignment horizontal="left" vertical="center" wrapText="1"/>
    </x:xf>
    <x:xf numFmtId="0" fontId="14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right" vertical="center" wrapText="1"/>
    </x:xf>
    <x:xf numFmtId="0" fontId="14" fillId="5" borderId="1" xfId="0" applyNumberFormat="1" applyFont="1" applyFill="1" applyBorder="1" applyAlignment="1">
      <x:alignment vertical="center"/>
    </x:xf>
    <x:xf numFmtId="0" fontId="14" fillId="5" borderId="1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right" vertical="center" wrapText="1"/>
    </x:xf>
    <x:xf numFmtId="0" fontId="14" fillId="5" borderId="4" xfId="0" applyNumberFormat="1" applyFont="1" applyFill="1" applyBorder="1" applyAlignment="1">
      <x:alignment horizontal="right" vertical="center" wrapText="1"/>
    </x:xf>
    <x:xf numFmtId="0" fontId="14" fillId="5" borderId="5" xfId="0" applyNumberFormat="1" applyFont="1" applyFill="1" applyBorder="1" applyAlignment="1">
      <x:alignment horizontal="right" vertical="center" wrapText="1"/>
    </x:xf>
    <x:xf numFmtId="0" fontId="15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vertical="center"/>
    </x:xf>
    <x:xf numFmtId="0" fontId="15" fillId="6" borderId="1" xfId="0" applyNumberFormat="1" applyFont="1" applyFill="1" applyBorder="1" applyAlignment="1">
      <x:alignment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vertical="center"/>
    </x:xf>
    <x:xf numFmtId="0" fontId="16" fillId="4" borderId="6" xfId="0" applyNumberFormat="1" applyFont="1" applyFill="1" applyBorder="1" applyAlignment="1">
      <x:alignment vertical="center"/>
    </x:xf>
    <x:xf numFmtId="0" fontId="16" fillId="4" borderId="7" xfId="0" applyNumberFormat="1" applyFont="1" applyFill="1" applyBorder="1" applyAlignment="1">
      <x:alignment vertical="center"/>
    </x:xf>
    <x:xf numFmtId="0" fontId="16" fillId="4" borderId="8" xfId="0" applyNumberFormat="1" applyFont="1" applyFill="1" applyBorder="1" applyAlignment="1">
      <x:alignment vertical="center"/>
    </x:xf>
    <x:xf numFmtId="0" fontId="16" fillId="4" borderId="6" xfId="0" applyNumberFormat="1" applyFont="1" applyFill="1" applyBorder="1" applyAlignment="1">
      <x:alignment vertical="center" wrapText="1"/>
    </x:xf>
    <x:xf numFmtId="0" fontId="16" fillId="4" borderId="7" xfId="0" applyNumberFormat="1" applyFont="1" applyFill="1" applyBorder="1" applyAlignment="1">
      <x:alignment vertical="center" wrapText="1"/>
    </x:xf>
    <x:xf numFmtId="0" fontId="16" fillId="4" borderId="8" xfId="0" applyNumberFormat="1" applyFont="1" applyFill="1" applyBorder="1" applyAlignment="1">
      <x:alignment vertical="center" wrapText="1"/>
    </x:xf>
    <x:xf numFmtId="0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vertical="center"/>
    </x:xf>
    <x:xf numFmtId="0" fontId="16" fillId="4" borderId="9" xfId="0" applyNumberFormat="1" applyFont="1" applyFill="1" applyBorder="1" applyAlignment="1">
      <x:alignment vertical="center"/>
    </x:xf>
    <x:xf numFmtId="0" fontId="16" fillId="4" borderId="10" xfId="0" applyNumberFormat="1" applyFont="1" applyFill="1" applyBorder="1" applyAlignment="1">
      <x:alignment vertical="center"/>
    </x:xf>
    <x:xf numFmtId="0" fontId="16" fillId="4" borderId="11" xfId="0" applyNumberFormat="1" applyFont="1" applyFill="1" applyBorder="1" applyAlignment="1">
      <x:alignment vertical="center"/>
    </x:xf>
    <x:xf numFmtId="0" fontId="16" fillId="4" borderId="9" xfId="0" applyNumberFormat="1" applyFont="1" applyFill="1" applyBorder="1" applyAlignment="1">
      <x:alignment vertical="center" wrapText="1"/>
    </x:xf>
    <x:xf numFmtId="0" fontId="16" fillId="4" borderId="10" xfId="0" applyNumberFormat="1" applyFont="1" applyFill="1" applyBorder="1" applyAlignment="1">
      <x:alignment vertical="center" wrapText="1"/>
    </x:xf>
    <x:xf numFmtId="0" fontId="16" fillId="4" borderId="11" xfId="0" applyNumberFormat="1" applyFont="1" applyFill="1" applyBorder="1" applyAlignment="1">
      <x:alignment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0" fontId="16" fillId="4" borderId="10" xfId="0" applyNumberFormat="1" applyFont="1" applyFill="1" applyBorder="1" applyAlignment="1">
      <x:alignment horizontal="center" vertical="center" wrapText="1"/>
    </x:xf>
    <x:xf numFmtId="0" fontId="16" fillId="4" borderId="11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vertical="center"/>
    </x:xf>
    <x:xf numFmtId="0" fontId="17" fillId="2" borderId="12" xfId="0" applyNumberFormat="1" applyFont="1" applyFill="1" applyBorder="1" applyAlignment="1">
      <x:alignment vertical="center"/>
    </x:xf>
    <x:xf numFmtId="0" fontId="17" fillId="2" borderId="13" xfId="0" applyNumberFormat="1" applyFont="1" applyFill="1" applyBorder="1" applyAlignment="1">
      <x:alignment vertical="center"/>
    </x:xf>
    <x:xf numFmtId="0" fontId="17" fillId="2" borderId="14" xfId="0" applyNumberFormat="1" applyFont="1" applyFill="1" applyBorder="1" applyAlignment="1">
      <x:alignment vertical="center"/>
    </x:xf>
    <x:xf numFmtId="0" fontId="17" fillId="2" borderId="15" xfId="0" applyNumberFormat="1" applyFont="1" applyFill="1" applyBorder="1" applyAlignment="1">
      <x:alignment vertical="center"/>
    </x:xf>
    <x:xf numFmtId="0" fontId="17" fillId="2" borderId="16" xfId="0" applyNumberFormat="1" applyFont="1" applyFill="1" applyBorder="1" applyAlignment="1">
      <x:alignment vertical="center"/>
    </x:xf>
    <x:xf numFmtId="0" fontId="17" fillId="2" borderId="17" xfId="0" applyNumberFormat="1" applyFont="1" applyFill="1" applyBorder="1" applyAlignment="1">
      <x:alignment vertical="center"/>
    </x:xf>
    <x:xf numFmtId="0" fontId="17" fillId="2" borderId="18" xfId="0" applyNumberFormat="1" applyFont="1" applyFill="1" applyBorder="1" applyAlignment="1">
      <x:alignment vertical="center"/>
    </x:xf>
    <x:xf numFmtId="0" fontId="17" fillId="2" borderId="19" xfId="0" applyNumberFormat="1" applyFont="1" applyFill="1" applyBorder="1" applyAlignment="1">
      <x:alignment vertical="center"/>
    </x:xf>
    <x:xf numFmtId="0" fontId="17" fillId="2" borderId="12" xfId="0" applyNumberFormat="1" applyFont="1" applyFill="1" applyBorder="1" applyAlignment="1">
      <x:alignment vertical="center" wrapText="1"/>
    </x:xf>
    <x:xf numFmtId="0" fontId="17" fillId="2" borderId="13" xfId="0" applyNumberFormat="1" applyFont="1" applyFill="1" applyBorder="1" applyAlignment="1">
      <x:alignment vertical="center" wrapText="1"/>
    </x:xf>
    <x:xf numFmtId="0" fontId="17" fillId="2" borderId="14" xfId="0" applyNumberFormat="1" applyFont="1" applyFill="1" applyBorder="1" applyAlignment="1">
      <x:alignment vertical="center" wrapText="1"/>
    </x:xf>
    <x:xf numFmtId="0" fontId="17" fillId="2" borderId="15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 wrapText="1"/>
    </x:xf>
    <x:xf numFmtId="0" fontId="17" fillId="2" borderId="16" xfId="0" applyNumberFormat="1" applyFont="1" applyFill="1" applyBorder="1" applyAlignment="1">
      <x:alignment vertical="center" wrapText="1"/>
    </x:xf>
    <x:xf numFmtId="0" fontId="17" fillId="2" borderId="17" xfId="0" applyNumberFormat="1" applyFont="1" applyFill="1" applyBorder="1" applyAlignment="1">
      <x:alignment vertical="center" wrapText="1"/>
    </x:xf>
    <x:xf numFmtId="0" fontId="17" fillId="2" borderId="18" xfId="0" applyNumberFormat="1" applyFont="1" applyFill="1" applyBorder="1" applyAlignment="1">
      <x:alignment vertical="center" wrapText="1"/>
    </x:xf>
    <x:xf numFmtId="0" fontId="17" fillId="2" borderId="19" xfId="0" applyNumberFormat="1" applyFont="1" applyFill="1" applyBorder="1" applyAlignment="1">
      <x:alignment vertical="center" wrapText="1"/>
    </x:xf>
    <x:xf numFmtId="0" fontId="17" fillId="2" borderId="1" xfId="0" applyNumberFormat="1" applyFont="1" applyFill="1" applyBorder="1" applyAlignment="1">
      <x:alignment vertical="center"/>
    </x:xf>
    <x:xf numFmtId="0" fontId="17" fillId="2" borderId="20" xfId="0" applyNumberFormat="1" applyFont="1" applyFill="1" applyBorder="1" applyAlignment="1">
      <x:alignment vertical="center"/>
    </x:xf>
    <x:xf numFmtId="0" fontId="17" fillId="2" borderId="21" xfId="0" applyNumberFormat="1" applyFont="1" applyFill="1" applyBorder="1" applyAlignment="1">
      <x:alignment vertical="center"/>
    </x:xf>
    <x:xf numFmtId="0" fontId="17" fillId="2" borderId="22" xfId="0" applyNumberFormat="1" applyFont="1" applyFill="1" applyBorder="1" applyAlignment="1">
      <x:alignment vertical="center"/>
    </x:xf>
    <x:xf numFmtId="0" fontId="17" fillId="2" borderId="23" xfId="0" applyNumberFormat="1" applyFont="1" applyFill="1" applyBorder="1" applyAlignment="1">
      <x:alignment vertical="center"/>
    </x:xf>
    <x:xf numFmtId="0" fontId="17" fillId="2" borderId="24" xfId="0" applyNumberFormat="1" applyFont="1" applyFill="1" applyBorder="1" applyAlignment="1">
      <x:alignment vertical="center"/>
    </x:xf>
    <x:xf numFmtId="0" fontId="17" fillId="2" borderId="25" xfId="0" applyNumberFormat="1" applyFont="1" applyFill="1" applyBorder="1" applyAlignment="1">
      <x:alignment vertical="center"/>
    </x:xf>
    <x:xf numFmtId="0" fontId="17" fillId="2" borderId="26" xfId="0" applyNumberFormat="1" applyFont="1" applyFill="1" applyBorder="1" applyAlignment="1">
      <x:alignment vertical="center"/>
    </x:xf>
    <x:xf numFmtId="0" fontId="17" fillId="2" borderId="27" xfId="0" applyNumberFormat="1" applyFont="1" applyFill="1" applyBorder="1" applyAlignment="1">
      <x:alignment vertical="center"/>
    </x:xf>
    <x:xf numFmtId="0" fontId="17" fillId="2" borderId="20" xfId="0" applyNumberFormat="1" applyFont="1" applyFill="1" applyBorder="1" applyAlignment="1">
      <x:alignment vertical="center" wrapText="1"/>
    </x:xf>
    <x:xf numFmtId="0" fontId="17" fillId="2" borderId="21" xfId="0" applyNumberFormat="1" applyFont="1" applyFill="1" applyBorder="1" applyAlignment="1">
      <x:alignment vertical="center" wrapText="1"/>
    </x:xf>
    <x:xf numFmtId="0" fontId="17" fillId="2" borderId="22" xfId="0" applyNumberFormat="1" applyFont="1" applyFill="1" applyBorder="1" applyAlignment="1">
      <x:alignment vertical="center" wrapText="1"/>
    </x:xf>
    <x:xf numFmtId="0" fontId="17" fillId="2" borderId="23" xfId="0" applyNumberFormat="1" applyFont="1" applyFill="1" applyBorder="1" applyAlignment="1">
      <x:alignment vertical="center" wrapText="1"/>
    </x:xf>
    <x:xf numFmtId="0" fontId="17" fillId="2" borderId="1" xfId="0" applyNumberFormat="1" applyFont="1" applyFill="1" applyBorder="1" applyAlignment="1">
      <x:alignment vertical="center" wrapText="1"/>
    </x:xf>
    <x:xf numFmtId="0" fontId="17" fillId="2" borderId="24" xfId="0" applyNumberFormat="1" applyFont="1" applyFill="1" applyBorder="1" applyAlignment="1">
      <x:alignment vertical="center" wrapText="1"/>
    </x:xf>
    <x:xf numFmtId="0" fontId="17" fillId="2" borderId="25" xfId="0" applyNumberFormat="1" applyFont="1" applyFill="1" applyBorder="1" applyAlignment="1">
      <x:alignment vertical="center" wrapText="1"/>
    </x:xf>
    <x:xf numFmtId="0" fontId="17" fillId="2" borderId="26" xfId="0" applyNumberFormat="1" applyFont="1" applyFill="1" applyBorder="1" applyAlignment="1">
      <x:alignment vertical="center" wrapText="1"/>
    </x:xf>
    <x:xf numFmtId="0" fontId="17" fillId="2" borderId="27" xfId="0" applyNumberFormat="1" applyFont="1" applyFill="1" applyBorder="1" applyAlignment="1">
      <x:alignment vertical="center" wrapText="1"/>
    </x:xf>
    <x:xf numFmtId="0" fontId="17" fillId="4" borderId="12" xfId="0" applyNumberFormat="1" applyFont="1" applyFill="1" applyBorder="1" applyAlignment="1">
      <x:alignment vertical="center" wrapText="1"/>
    </x:xf>
    <x:xf numFmtId="0" fontId="17" fillId="4" borderId="15" xfId="0" applyNumberFormat="1" applyFont="1" applyFill="1" applyBorder="1" applyAlignment="1">
      <x:alignment vertical="center" wrapText="1"/>
    </x:xf>
    <x:xf numFmtId="0" fontId="17" fillId="4" borderId="17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5" fillId="4" borderId="17" xfId="0" applyNumberFormat="1" applyFont="1" applyFill="1" applyBorder="1" applyAlignment="1">
      <x:alignment horizontal="center" vertical="center" wrapText="1"/>
    </x:xf>
    <x:xf numFmtId="0" fontId="17" fillId="4" borderId="20" xfId="0" applyNumberFormat="1" applyFont="1" applyFill="1" applyBorder="1" applyAlignment="1">
      <x:alignment vertical="center" wrapText="1"/>
    </x:xf>
    <x:xf numFmtId="0" fontId="17" fillId="4" borderId="23" xfId="0" applyNumberFormat="1" applyFont="1" applyFill="1" applyBorder="1" applyAlignment="1">
      <x:alignment vertical="center" wrapText="1"/>
    </x:xf>
    <x:xf numFmtId="0" fontId="17" fillId="4" borderId="25" xfId="0" applyNumberFormat="1" applyFont="1" applyFill="1" applyBorder="1" applyAlignment="1">
      <x:alignment vertical="center" wrapText="1"/>
    </x:xf>
    <x:xf numFmtId="0" fontId="5" fillId="4" borderId="20" xfId="0" applyNumberFormat="1" applyFont="1" applyFill="1" applyBorder="1" applyAlignment="1">
      <x:alignment vertical="center" wrapText="1"/>
    </x:xf>
    <x:xf numFmtId="0" fontId="5" fillId="4" borderId="23" xfId="0" applyNumberFormat="1" applyFont="1" applyFill="1" applyBorder="1" applyAlignment="1">
      <x:alignment vertical="center" wrapText="1"/>
    </x:xf>
    <x:xf numFmtId="0" fontId="5" fillId="4" borderId="25" xfId="0" applyNumberFormat="1" applyFont="1" applyFill="1" applyBorder="1" applyAlignment="1">
      <x:alignment vertical="center" wrapText="1"/>
    </x:xf>
    <x:xf numFmtId="0" fontId="5" fillId="4" borderId="20" xfId="0" applyNumberFormat="1" applyFont="1" applyFill="1" applyBorder="1" applyAlignment="1">
      <x:alignment horizontal="center" vertical="center" wrapText="1"/>
    </x:xf>
    <x:xf numFmtId="0" fontId="5" fillId="4" borderId="23" xfId="0" applyNumberFormat="1" applyFont="1" applyFill="1" applyBorder="1" applyAlignment="1">
      <x:alignment horizontal="center" vertical="center" wrapText="1"/>
    </x:xf>
    <x:xf numFmtId="0" fontId="5" fillId="4" borderId="25" xfId="0" applyNumberFormat="1" applyFont="1" applyFill="1" applyBorder="1" applyAlignment="1">
      <x:alignment horizontal="center" vertical="center" wrapText="1"/>
    </x:xf>
    <x:xf numFmtId="0" fontId="17" fillId="6" borderId="13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6" borderId="18" xfId="0" applyNumberFormat="1" applyFont="1" applyFill="1" applyBorder="1" applyAlignment="1">
      <x:alignment vertical="center" wrapText="1"/>
    </x:xf>
    <x:xf numFmtId="0" fontId="18" fillId="6" borderId="13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18" xfId="0" applyNumberFormat="1" applyFont="1" applyFill="1" applyBorder="1" applyAlignment="1">
      <x:alignment vertical="center" wrapText="1"/>
    </x:xf>
    <x:xf numFmtId="0" fontId="18" fillId="6" borderId="28" xfId="0" applyNumberFormat="1" applyFont="1" applyFill="1" applyBorder="1" applyAlignment="1">
      <x:alignment vertical="center" wrapText="1"/>
    </x:xf>
    <x:xf numFmtId="0" fontId="18" fillId="6" borderId="29" xfId="0" applyNumberFormat="1" applyFont="1" applyFill="1" applyBorder="1" applyAlignment="1">
      <x:alignment vertical="center" wrapText="1"/>
    </x:xf>
    <x:xf numFmtId="0" fontId="18" fillId="6" borderId="30" xfId="0" applyNumberFormat="1" applyFont="1" applyFill="1" applyBorder="1" applyAlignment="1">
      <x:alignment vertical="center" wrapText="1"/>
    </x:xf>
    <x:xf numFmtId="0" fontId="18" fillId="6" borderId="28" xfId="0" applyNumberFormat="1" applyFont="1" applyFill="1" applyBorder="1" applyAlignment="1">
      <x:alignment horizontal="center" vertical="center" wrapText="1"/>
    </x:xf>
    <x:xf numFmtId="0" fontId="18" fillId="6" borderId="29" xfId="0" applyNumberFormat="1" applyFont="1" applyFill="1" applyBorder="1" applyAlignment="1">
      <x:alignment horizontal="center" vertical="center" wrapText="1"/>
    </x:xf>
    <x:xf numFmtId="0" fontId="18" fillId="6" borderId="30" xfId="0" applyNumberFormat="1" applyFont="1" applyFill="1" applyBorder="1" applyAlignment="1">
      <x:alignment horizontal="center" vertical="center" wrapText="1"/>
    </x:xf>
    <x:xf numFmtId="0" fontId="17" fillId="6" borderId="21" xfId="0" applyNumberFormat="1" applyFont="1" applyFill="1" applyBorder="1" applyAlignment="1">
      <x:alignment vertical="center" wrapText="1"/>
    </x:xf>
    <x:xf numFmtId="0" fontId="17" fillId="6" borderId="1" xfId="0" applyNumberFormat="1" applyFont="1" applyFill="1" applyBorder="1" applyAlignment="1">
      <x:alignment vertical="center" wrapText="1"/>
    </x:xf>
    <x:xf numFmtId="0" fontId="17" fillId="6" borderId="26" xfId="0" applyNumberFormat="1" applyFont="1" applyFill="1" applyBorder="1" applyAlignment="1">
      <x:alignment vertical="center" wrapText="1"/>
    </x:xf>
    <x:xf numFmtId="0" fontId="18" fillId="6" borderId="2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vertical="center" wrapText="1"/>
    </x:xf>
    <x:xf numFmtId="0" fontId="18" fillId="6" borderId="26" xfId="0" applyNumberFormat="1" applyFont="1" applyFill="1" applyBorder="1" applyAlignment="1">
      <x:alignment vertical="center" wrapText="1"/>
    </x:xf>
    <x:xf numFmtId="0" fontId="18" fillId="6" borderId="31" xfId="0" applyNumberFormat="1" applyFont="1" applyFill="1" applyBorder="1" applyAlignment="1">
      <x:alignment vertical="center" wrapText="1"/>
    </x:xf>
    <x:xf numFmtId="0" fontId="18" fillId="6" borderId="32" xfId="0" applyNumberFormat="1" applyFont="1" applyFill="1" applyBorder="1" applyAlignment="1">
      <x:alignment vertical="center" wrapText="1"/>
    </x:xf>
    <x:xf numFmtId="0" fontId="18" fillId="6" borderId="33" xfId="0" applyNumberFormat="1" applyFont="1" applyFill="1" applyBorder="1" applyAlignment="1">
      <x:alignment vertical="center" wrapText="1"/>
    </x:xf>
    <x:xf numFmtId="0" fontId="18" fillId="6" borderId="31" xfId="0" applyNumberFormat="1" applyFont="1" applyFill="1" applyBorder="1" applyAlignment="1">
      <x:alignment horizontal="center" vertical="center" wrapText="1"/>
    </x:xf>
    <x:xf numFmtId="0" fontId="18" fillId="6" borderId="32" xfId="0" applyNumberFormat="1" applyFont="1" applyFill="1" applyBorder="1" applyAlignment="1">
      <x:alignment horizontal="center" vertical="center" wrapText="1"/>
    </x:xf>
    <x:xf numFmtId="0" fontId="18" fillId="6" borderId="33" xfId="0" applyNumberFormat="1" applyFont="1" applyFill="1" applyBorder="1" applyAlignment="1">
      <x:alignment horizontal="center" vertical="center" wrapText="1"/>
    </x:xf>
    <x:xf numFmtId="0" fontId="17" fillId="10" borderId="14" xfId="0" applyNumberFormat="1" applyFont="1" applyFill="1" applyBorder="1" applyAlignment="1">
      <x:alignment vertical="center" wrapText="1"/>
    </x:xf>
    <x:xf numFmtId="0" fontId="17" fillId="10" borderId="16" xfId="0" applyNumberFormat="1" applyFont="1" applyFill="1" applyBorder="1" applyAlignment="1">
      <x:alignment vertical="center" wrapText="1"/>
    </x:xf>
    <x:xf numFmtId="0" fontId="17" fillId="10" borderId="19" xfId="0" applyNumberFormat="1" applyFont="1" applyFill="1" applyBorder="1" applyAlignment="1">
      <x:alignment vertical="center" wrapText="1"/>
    </x:xf>
    <x:xf numFmtId="0" fontId="17" fillId="10" borderId="22" xfId="0" applyNumberFormat="1" applyFont="1" applyFill="1" applyBorder="1" applyAlignment="1">
      <x:alignment vertical="center" wrapText="1"/>
    </x:xf>
    <x:xf numFmtId="0" fontId="17" fillId="10" borderId="24" xfId="0" applyNumberFormat="1" applyFont="1" applyFill="1" applyBorder="1" applyAlignment="1">
      <x:alignment vertical="center" wrapText="1"/>
    </x:xf>
    <x:xf numFmtId="0" fontId="17" fillId="10" borderId="27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horizontal="center" vertical="center" wrapText="1"/>
    </x:xf>
    <x:xf numFmtId="0" fontId="19" fillId="4" borderId="0" xfId="0" applyNumberFormat="1" applyFont="1" applyFill="1" applyBorder="1" applyAlignment="1">
      <x:alignment vertical="center"/>
    </x:xf>
    <x:xf numFmtId="0" fontId="19" fillId="4" borderId="0" xfId="0" applyNumberFormat="1" applyFont="1" applyFill="1" applyBorder="1" applyAlignment="1">
      <x:alignment vertical="center" wrapText="1"/>
    </x:xf>
    <x:xf numFmtId="0" fontId="19" fillId="4" borderId="0" xfId="0" applyNumberFormat="1" applyFont="1" applyFill="1" applyBorder="1" applyAlignment="1">
      <x:alignment horizontal="left" vertical="center" wrapText="1"/>
    </x:xf>
    <x:xf numFmtId="0" fontId="19" fillId="4" borderId="1" xfId="0" applyNumberFormat="1" applyFont="1" applyFill="1" applyBorder="1" applyAlignment="1">
      <x:alignment vertical="center"/>
    </x:xf>
    <x:xf numFmtId="0" fontId="19" fillId="4" borderId="1" xfId="0" applyNumberFormat="1" applyFont="1" applyFill="1" applyBorder="1" applyAlignment="1">
      <x:alignment vertical="center" wrapText="1"/>
    </x:xf>
    <x:xf numFmtId="0" fontId="19" fillId="4" borderId="1" xfId="0" applyNumberFormat="1" applyFont="1" applyFill="1" applyBorder="1" applyAlignment="1">
      <x:alignment horizontal="left" vertical="center" wrapText="1"/>
    </x:xf>
    <x:xf numFmtId="200" fontId="17" fillId="2" borderId="14" xfId="0" applyNumberFormat="1" applyFont="1" applyFill="1" applyBorder="1" applyAlignment="1">
      <x:alignment vertical="center" wrapText="1"/>
    </x:xf>
    <x:xf numFmtId="200" fontId="17" fillId="2" borderId="16" xfId="0" applyNumberFormat="1" applyFont="1" applyFill="1" applyBorder="1" applyAlignment="1">
      <x:alignment vertical="center" wrapText="1"/>
    </x:xf>
    <x:xf numFmtId="200" fontId="17" fillId="2" borderId="19" xfId="0" applyNumberFormat="1" applyFont="1" applyFill="1" applyBorder="1" applyAlignment="1">
      <x:alignment vertical="center" wrapText="1"/>
    </x:xf>
    <x:xf numFmtId="200" fontId="17" fillId="2" borderId="22" xfId="0" applyNumberFormat="1" applyFont="1" applyFill="1" applyBorder="1" applyAlignment="1">
      <x:alignment vertical="center" wrapText="1"/>
    </x:xf>
    <x:xf numFmtId="200" fontId="17" fillId="2" borderId="24" xfId="0" applyNumberFormat="1" applyFont="1" applyFill="1" applyBorder="1" applyAlignment="1">
      <x:alignment vertical="center" wrapText="1"/>
    </x:xf>
    <x:xf numFmtId="200" fontId="17" fillId="2" borderId="27" xfId="0" applyNumberFormat="1" applyFont="1" applyFill="1" applyBorder="1" applyAlignment="1">
      <x:alignment vertical="center" wrapText="1"/>
    </x:xf>
    <x:xf numFmtId="201" fontId="17" fillId="2" borderId="13" xfId="0" applyNumberFormat="1" applyFont="1" applyFill="1" applyBorder="1" applyAlignment="1">
      <x:alignment vertical="center" wrapText="1"/>
    </x:xf>
    <x:xf numFmtId="201" fontId="17" fillId="2" borderId="0" xfId="0" applyNumberFormat="1" applyFont="1" applyFill="1" applyBorder="1" applyAlignment="1">
      <x:alignment vertical="center" wrapText="1"/>
    </x:xf>
    <x:xf numFmtId="201" fontId="17" fillId="2" borderId="18" xfId="0" applyNumberFormat="1" applyFont="1" applyFill="1" applyBorder="1" applyAlignment="1">
      <x:alignment vertical="center" wrapText="1"/>
    </x:xf>
    <x:xf numFmtId="201" fontId="17" fillId="2" borderId="21" xfId="0" applyNumberFormat="1" applyFont="1" applyFill="1" applyBorder="1" applyAlignment="1">
      <x:alignment vertical="center" wrapText="1"/>
    </x:xf>
    <x:xf numFmtId="201" fontId="17" fillId="2" borderId="1" xfId="0" applyNumberFormat="1" applyFont="1" applyFill="1" applyBorder="1" applyAlignment="1">
      <x:alignment vertical="center" wrapText="1"/>
    </x:xf>
    <x:xf numFmtId="201" fontId="17" fillId="2" borderId="26" xfId="0" applyNumberFormat="1" applyFont="1" applyFill="1" applyBorder="1" applyAlignment="1">
      <x:alignment vertical="center" wrapText="1"/>
    </x:xf>
    <x:xf numFmtId="200" fontId="17" fillId="2" borderId="13" xfId="0" applyNumberFormat="1" applyFont="1" applyFill="1" applyBorder="1" applyAlignment="1">
      <x:alignment vertical="center" wrapText="1"/>
    </x:xf>
    <x:xf numFmtId="200" fontId="17" fillId="2" borderId="0" xfId="0" applyNumberFormat="1" applyFont="1" applyFill="1" applyBorder="1" applyAlignment="1">
      <x:alignment vertical="center" wrapText="1"/>
    </x:xf>
    <x:xf numFmtId="200" fontId="17" fillId="2" borderId="18" xfId="0" applyNumberFormat="1" applyFont="1" applyFill="1" applyBorder="1" applyAlignment="1">
      <x:alignment vertical="center" wrapText="1"/>
    </x:xf>
    <x:xf numFmtId="200" fontId="17" fillId="2" borderId="21" xfId="0" applyNumberFormat="1" applyFont="1" applyFill="1" applyBorder="1" applyAlignment="1">
      <x:alignment vertical="center" wrapText="1"/>
    </x:xf>
    <x:xf numFmtId="200" fontId="17" fillId="2" borderId="1" xfId="0" applyNumberFormat="1" applyFont="1" applyFill="1" applyBorder="1" applyAlignment="1">
      <x:alignment vertical="center" wrapText="1"/>
    </x:xf>
    <x:xf numFmtId="200" fontId="17" fillId="2" borderId="26" xfId="0" applyNumberFormat="1" applyFont="1" applyFill="1" applyBorder="1" applyAlignment="1">
      <x:alignment vertical="center" wrapText="1"/>
    </x:xf>
    <x:xf numFmtId="202" fontId="17" fillId="2" borderId="13" xfId="0" applyNumberFormat="1" applyFont="1" applyFill="1" applyBorder="1" applyAlignment="1">
      <x:alignment vertical="center" wrapText="1"/>
    </x:xf>
    <x:xf numFmtId="202" fontId="17" fillId="2" borderId="0" xfId="0" applyNumberFormat="1" applyFont="1" applyFill="1" applyBorder="1" applyAlignment="1">
      <x:alignment vertical="center" wrapText="1"/>
    </x:xf>
    <x:xf numFmtId="202" fontId="17" fillId="2" borderId="18" xfId="0" applyNumberFormat="1" applyFont="1" applyFill="1" applyBorder="1" applyAlignment="1">
      <x:alignment vertical="center" wrapText="1"/>
    </x:xf>
    <x:xf numFmtId="202" fontId="17" fillId="2" borderId="21" xfId="0" applyNumberFormat="1" applyFont="1" applyFill="1" applyBorder="1" applyAlignment="1">
      <x:alignment vertical="center" wrapText="1"/>
    </x:xf>
    <x:xf numFmtId="202" fontId="17" fillId="2" borderId="1" xfId="0" applyNumberFormat="1" applyFont="1" applyFill="1" applyBorder="1" applyAlignment="1">
      <x:alignment vertical="center" wrapText="1"/>
    </x:xf>
    <x:xf numFmtId="202" fontId="17" fillId="2" borderId="26" xfId="0" applyNumberFormat="1" applyFont="1" applyFill="1" applyBorder="1" applyAlignment="1">
      <x:alignment vertical="center" wrapText="1"/>
    </x:xf>
    <x:xf numFmtId="203" fontId="17" fillId="2" borderId="13" xfId="0" applyNumberFormat="1" applyFont="1" applyFill="1" applyBorder="1" applyAlignment="1">
      <x:alignment vertical="center" wrapText="1"/>
    </x:xf>
    <x:xf numFmtId="203" fontId="17" fillId="2" borderId="0" xfId="0" applyNumberFormat="1" applyFont="1" applyFill="1" applyBorder="1" applyAlignment="1">
      <x:alignment vertical="center" wrapText="1"/>
    </x:xf>
    <x:xf numFmtId="203" fontId="17" fillId="2" borderId="18" xfId="0" applyNumberFormat="1" applyFont="1" applyFill="1" applyBorder="1" applyAlignment="1">
      <x:alignment vertical="center" wrapText="1"/>
    </x:xf>
    <x:xf numFmtId="203" fontId="17" fillId="2" borderId="21" xfId="0" applyNumberFormat="1" applyFont="1" applyFill="1" applyBorder="1" applyAlignment="1">
      <x:alignment vertical="center" wrapText="1"/>
    </x:xf>
    <x:xf numFmtId="203" fontId="17" fillId="2" borderId="1" xfId="0" applyNumberFormat="1" applyFont="1" applyFill="1" applyBorder="1" applyAlignment="1">
      <x:alignment vertical="center" wrapText="1"/>
    </x:xf>
    <x:xf numFmtId="203" fontId="17" fillId="2" borderId="26" xfId="0" applyNumberFormat="1" applyFont="1" applyFill="1" applyBorder="1" applyAlignment="1">
      <x:alignment vertical="center" wrapText="1"/>
    </x:xf>
    <x:xf numFmtId="0" fontId="17" fillId="10" borderId="13" xfId="0" applyNumberFormat="1" applyFont="1" applyFill="1" applyBorder="1" applyAlignment="1">
      <x:alignment vertical="center" wrapText="1"/>
    </x:xf>
    <x:xf numFmtId="203" fontId="17" fillId="10" borderId="13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center" wrapText="1"/>
    </x:xf>
    <x:xf numFmtId="203" fontId="17" fillId="10" borderId="0" xfId="0" applyNumberFormat="1" applyFont="1" applyFill="1" applyBorder="1" applyAlignment="1">
      <x:alignment vertical="center" wrapText="1"/>
    </x:xf>
    <x:xf numFmtId="0" fontId="17" fillId="10" borderId="18" xfId="0" applyNumberFormat="1" applyFont="1" applyFill="1" applyBorder="1" applyAlignment="1">
      <x:alignment vertical="center" wrapText="1"/>
    </x:xf>
    <x:xf numFmtId="203" fontId="17" fillId="10" borderId="18" xfId="0" applyNumberFormat="1" applyFont="1" applyFill="1" applyBorder="1" applyAlignment="1">
      <x:alignment vertical="center" wrapText="1"/>
    </x:xf>
    <x:xf numFmtId="0" fontId="17" fillId="10" borderId="21" xfId="0" applyNumberFormat="1" applyFont="1" applyFill="1" applyBorder="1" applyAlignment="1">
      <x:alignment vertical="center" wrapText="1"/>
    </x:xf>
    <x:xf numFmtId="203" fontId="17" fillId="10" borderId="21" xfId="0" applyNumberFormat="1" applyFont="1" applyFill="1" applyBorder="1" applyAlignment="1">
      <x:alignment vertical="center" wrapText="1"/>
    </x:xf>
    <x:xf numFmtId="0" fontId="17" fillId="10" borderId="1" xfId="0" applyNumberFormat="1" applyFont="1" applyFill="1" applyBorder="1" applyAlignment="1">
      <x:alignment vertical="center" wrapText="1"/>
    </x:xf>
    <x:xf numFmtId="203" fontId="17" fillId="10" borderId="1" xfId="0" applyNumberFormat="1" applyFont="1" applyFill="1" applyBorder="1" applyAlignment="1">
      <x:alignment vertical="center" wrapText="1"/>
    </x:xf>
    <x:xf numFmtId="0" fontId="17" fillId="10" borderId="26" xfId="0" applyNumberFormat="1" applyFont="1" applyFill="1" applyBorder="1" applyAlignment="1">
      <x:alignment vertical="center" wrapText="1"/>
    </x:xf>
    <x:xf numFmtId="203" fontId="17" fillId="10" borderId="26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horizontal="center" vertical="center" wrapText="1"/>
    </x:xf>
    <x:xf numFmtId="0" fontId="20" fillId="8" borderId="1" xfId="0" applyNumberFormat="1" applyFont="1" applyFill="1" applyBorder="1" applyAlignment="1">
      <x:alignment vertical="center"/>
    </x:xf>
    <x:xf numFmtId="0" fontId="20" fillId="8" borderId="1" xfId="0" applyNumberFormat="1" applyFont="1" applyFill="1" applyBorder="1" applyAlignment="1">
      <x:alignment vertical="center" wrapText="1"/>
    </x:xf>
    <x:xf numFmtId="0" fontId="20" fillId="8" borderId="1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/>
    <x:xf numFmtId="0" fontId="17" fillId="2" borderId="17" xfId="0" applyNumberFormat="1" applyFont="1" applyFill="1" applyBorder="1"/>
    <x:xf numFmtId="0" fontId="17" fillId="2" borderId="18" xfId="0" applyNumberFormat="1" applyFont="1" applyFill="1" applyBorder="1"/>
    <x:xf numFmtId="0" fontId="17" fillId="2" borderId="19" xfId="0" applyNumberFormat="1" applyFont="1" applyFill="1" applyBorder="1"/>
    <x:xf numFmtId="0" fontId="17" fillId="2" borderId="17" xfId="0" applyNumberFormat="1" applyFont="1" applyFill="1" applyBorder="1" applyAlignment="1">
      <x:alignment wrapText="1"/>
    </x:xf>
    <x:xf numFmtId="0" fontId="17" fillId="2" borderId="18" xfId="0" applyNumberFormat="1" applyFont="1" applyFill="1" applyBorder="1" applyAlignment="1">
      <x:alignment wrapText="1"/>
    </x:xf>
    <x:xf numFmtId="0" fontId="17" fillId="2" borderId="19" xfId="0" applyNumberFormat="1" applyFont="1" applyFill="1" applyBorder="1" applyAlignment="1">
      <x:alignment wrapText="1"/>
    </x:xf>
    <x:xf numFmtId="0" fontId="17" fillId="2" borderId="1" xfId="0" applyNumberFormat="1" applyFont="1" applyFill="1" applyBorder="1"/>
    <x:xf numFmtId="0" fontId="17" fillId="2" borderId="25" xfId="0" applyNumberFormat="1" applyFont="1" applyFill="1" applyBorder="1"/>
    <x:xf numFmtId="0" fontId="17" fillId="2" borderId="26" xfId="0" applyNumberFormat="1" applyFont="1" applyFill="1" applyBorder="1"/>
    <x:xf numFmtId="0" fontId="17" fillId="2" borderId="27" xfId="0" applyNumberFormat="1" applyFont="1" applyFill="1" applyBorder="1"/>
    <x:xf numFmtId="0" fontId="17" fillId="2" borderId="25" xfId="0" applyNumberFormat="1" applyFont="1" applyFill="1" applyBorder="1" applyAlignment="1">
      <x:alignment wrapText="1"/>
    </x:xf>
    <x:xf numFmtId="0" fontId="17" fillId="2" borderId="26" xfId="0" applyNumberFormat="1" applyFont="1" applyFill="1" applyBorder="1" applyAlignment="1">
      <x:alignment wrapText="1"/>
    </x:xf>
    <x:xf numFmtId="0" fontId="17" fillId="2" borderId="27" xfId="0" applyNumberFormat="1" applyFont="1" applyFill="1" applyBorder="1" applyAlignment="1">
      <x:alignment wrapText="1"/>
    </x:xf>
    <x:xf numFmtId="204" fontId="17" fillId="10" borderId="13" xfId="0" applyNumberFormat="1" applyFont="1" applyFill="1" applyBorder="1" applyAlignment="1">
      <x:alignment vertical="center" wrapText="1"/>
    </x:xf>
    <x:xf numFmtId="204" fontId="17" fillId="10" borderId="0" xfId="0" applyNumberFormat="1" applyFont="1" applyFill="1" applyBorder="1" applyAlignment="1">
      <x:alignment vertical="center" wrapText="1"/>
    </x:xf>
    <x:xf numFmtId="204" fontId="17" fillId="10" borderId="18" xfId="0" applyNumberFormat="1" applyFont="1" applyFill="1" applyBorder="1" applyAlignment="1">
      <x:alignment vertical="center" wrapText="1"/>
    </x:xf>
    <x:xf numFmtId="204" fontId="17" fillId="10" borderId="21" xfId="0" applyNumberFormat="1" applyFont="1" applyFill="1" applyBorder="1" applyAlignment="1">
      <x:alignment vertical="center" wrapText="1"/>
    </x:xf>
    <x:xf numFmtId="204" fontId="17" fillId="10" borderId="1" xfId="0" applyNumberFormat="1" applyFont="1" applyFill="1" applyBorder="1" applyAlignment="1">
      <x:alignment vertical="center" wrapText="1"/>
    </x:xf>
    <x:xf numFmtId="204" fontId="17" fillId="10" borderId="26" xfId="0" applyNumberFormat="1" applyFont="1" applyFill="1" applyBorder="1" applyAlignment="1">
      <x:alignment vertical="center" wrapText="1"/>
    </x:xf>
    <x:xf numFmtId="202" fontId="17" fillId="10" borderId="13" xfId="0" applyNumberFormat="1" applyFont="1" applyFill="1" applyBorder="1" applyAlignment="1">
      <x:alignment vertical="center" wrapText="1"/>
    </x:xf>
    <x:xf numFmtId="202" fontId="17" fillId="10" borderId="0" xfId="0" applyNumberFormat="1" applyFont="1" applyFill="1" applyBorder="1" applyAlignment="1">
      <x:alignment vertical="center" wrapText="1"/>
    </x:xf>
    <x:xf numFmtId="202" fontId="17" fillId="10" borderId="18" xfId="0" applyNumberFormat="1" applyFont="1" applyFill="1" applyBorder="1" applyAlignment="1">
      <x:alignment vertical="center" wrapText="1"/>
    </x:xf>
    <x:xf numFmtId="202" fontId="17" fillId="10" borderId="21" xfId="0" applyNumberFormat="1" applyFont="1" applyFill="1" applyBorder="1" applyAlignment="1">
      <x:alignment vertical="center" wrapText="1"/>
    </x:xf>
    <x:xf numFmtId="202" fontId="17" fillId="10" borderId="1" xfId="0" applyNumberFormat="1" applyFont="1" applyFill="1" applyBorder="1" applyAlignment="1">
      <x:alignment vertical="center" wrapText="1"/>
    </x:xf>
    <x:xf numFmtId="202" fontId="17" fillId="10" borderId="26" xfId="0" applyNumberFormat="1" applyFont="1" applyFill="1" applyBorder="1" applyAlignment="1">
      <x:alignment vertical="center" wrapText="1"/>
    </x:xf>
    <x:xf numFmtId="202" fontId="17" fillId="10" borderId="14" xfId="0" applyNumberFormat="1" applyFont="1" applyFill="1" applyBorder="1" applyAlignment="1">
      <x:alignment vertical="center" wrapText="1"/>
    </x:xf>
    <x:xf numFmtId="202" fontId="17" fillId="10" borderId="16" xfId="0" applyNumberFormat="1" applyFont="1" applyFill="1" applyBorder="1" applyAlignment="1">
      <x:alignment vertical="center" wrapText="1"/>
    </x:xf>
    <x:xf numFmtId="202" fontId="17" fillId="10" borderId="19" xfId="0" applyNumberFormat="1" applyFont="1" applyFill="1" applyBorder="1" applyAlignment="1">
      <x:alignment vertical="center" wrapText="1"/>
    </x:xf>
    <x:xf numFmtId="202" fontId="17" fillId="10" borderId="22" xfId="0" applyNumberFormat="1" applyFont="1" applyFill="1" applyBorder="1" applyAlignment="1">
      <x:alignment vertical="center" wrapText="1"/>
    </x:xf>
    <x:xf numFmtId="202" fontId="17" fillId="10" borderId="24" xfId="0" applyNumberFormat="1" applyFont="1" applyFill="1" applyBorder="1" applyAlignment="1">
      <x:alignment vertical="center" wrapText="1"/>
    </x:xf>
    <x:xf numFmtId="202" fontId="17" fillId="10" borderId="27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borderId="1" xfId="0" applyNumberFormat="1" applyFont="1" applyFill="1" applyBorder="1" applyAlignment="1">
      <x:alignment vertical="center"/>
    </x:xf>
    <x:xf numFmtId="0" fontId="18" fillId="6" borderId="1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15" fillId="10" borderId="28" xfId="0" applyNumberFormat="1" applyFont="1" applyFill="1" applyBorder="1" applyAlignment="1">
      <x:alignment vertical="center"/>
    </x:xf>
    <x:xf numFmtId="0" fontId="15" fillId="10" borderId="29" xfId="0" applyNumberFormat="1" applyFont="1" applyFill="1" applyBorder="1" applyAlignment="1">
      <x:alignment vertical="center"/>
    </x:xf>
    <x:xf numFmtId="0" fontId="15" fillId="10" borderId="3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5" fillId="10" borderId="1" xfId="0" applyNumberFormat="1" applyFont="1" applyFill="1" applyBorder="1" applyAlignment="1">
      <x:alignment vertical="center"/>
    </x:xf>
    <x:xf numFmtId="0" fontId="15" fillId="10" borderId="31" xfId="0" applyNumberFormat="1" applyFont="1" applyFill="1" applyBorder="1" applyAlignment="1">
      <x:alignment vertical="center"/>
    </x:xf>
    <x:xf numFmtId="0" fontId="15" fillId="10" borderId="32" xfId="0" applyNumberFormat="1" applyFont="1" applyFill="1" applyBorder="1" applyAlignment="1">
      <x:alignment vertical="center"/>
    </x:xf>
    <x:xf numFmtId="0" fontId="15" fillId="10" borderId="33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0" fontId="17" fillId="10" borderId="13" xfId="0" applyNumberFormat="1" applyFont="1" applyFill="1" applyBorder="1" applyAlignment="1">
      <x:alignment vertical="center"/>
    </x:xf>
    <x:xf numFmtId="0" fontId="17" fillId="10" borderId="14" xfId="0" applyNumberFormat="1" applyFont="1" applyFill="1" applyBorder="1" applyAlignment="1">
      <x:alignment vertical="center"/>
    </x:xf>
    <x:xf numFmtId="0" fontId="17" fillId="10" borderId="15" xfId="0" applyNumberFormat="1" applyFont="1" applyFill="1" applyBorder="1" applyAlignment="1">
      <x:alignment vertical="center"/>
    </x:xf>
    <x:xf numFmtId="0" fontId="17" fillId="10" borderId="16" xfId="0" applyNumberFormat="1" applyFont="1" applyFill="1" applyBorder="1" applyAlignment="1">
      <x:alignment vertical="center"/>
    </x:xf>
    <x:xf numFmtId="0" fontId="17" fillId="10" borderId="17" xfId="0" applyNumberFormat="1" applyFont="1" applyFill="1" applyBorder="1" applyAlignment="1">
      <x:alignment vertical="center"/>
    </x:xf>
    <x:xf numFmtId="0" fontId="17" fillId="10" borderId="18" xfId="0" applyNumberFormat="1" applyFont="1" applyFill="1" applyBorder="1" applyAlignment="1">
      <x:alignment vertical="center"/>
    </x:xf>
    <x:xf numFmtId="0" fontId="17" fillId="10" borderId="19" xfId="0" applyNumberFormat="1" applyFont="1" applyFill="1" applyBorder="1" applyAlignment="1">
      <x:alignment vertical="center"/>
    </x:xf>
    <x:xf numFmtId="0" fontId="17" fillId="10" borderId="1" xfId="0" applyNumberFormat="1" applyFont="1" applyFill="1" applyBorder="1" applyAlignment="1">
      <x:alignment vertical="center"/>
    </x:xf>
    <x:xf numFmtId="0" fontId="17" fillId="10" borderId="20" xfId="0" applyNumberFormat="1" applyFont="1" applyFill="1" applyBorder="1" applyAlignment="1">
      <x:alignment vertical="center"/>
    </x:xf>
    <x:xf numFmtId="0" fontId="17" fillId="10" borderId="21" xfId="0" applyNumberFormat="1" applyFont="1" applyFill="1" applyBorder="1" applyAlignment="1">
      <x:alignment vertical="center"/>
    </x:xf>
    <x:xf numFmtId="0" fontId="17" fillId="10" borderId="22" xfId="0" applyNumberFormat="1" applyFont="1" applyFill="1" applyBorder="1" applyAlignment="1">
      <x:alignment vertical="center"/>
    </x:xf>
    <x:xf numFmtId="0" fontId="17" fillId="10" borderId="23" xfId="0" applyNumberFormat="1" applyFont="1" applyFill="1" applyBorder="1" applyAlignment="1">
      <x:alignment vertical="center"/>
    </x:xf>
    <x:xf numFmtId="0" fontId="17" fillId="10" borderId="24" xfId="0" applyNumberFormat="1" applyFont="1" applyFill="1" applyBorder="1" applyAlignment="1">
      <x:alignment vertical="center"/>
    </x:xf>
    <x:xf numFmtId="0" fontId="17" fillId="10" borderId="25" xfId="0" applyNumberFormat="1" applyFont="1" applyFill="1" applyBorder="1" applyAlignment="1">
      <x:alignment vertical="center"/>
    </x:xf>
    <x:xf numFmtId="0" fontId="17" fillId="10" borderId="26" xfId="0" applyNumberFormat="1" applyFont="1" applyFill="1" applyBorder="1" applyAlignment="1">
      <x:alignment vertical="center"/>
    </x:xf>
    <x:xf numFmtId="0" fontId="17" fillId="10" borderId="27" xfId="0" applyNumberFormat="1" applyFont="1" applyFill="1" applyBorder="1" applyAlignment="1">
      <x:alignment vertical="center"/>
    </x:xf>
    <x:xf numFmtId="0" fontId="17" fillId="8" borderId="12" xfId="0" applyNumberFormat="1" applyFont="1" applyFill="1" applyBorder="1" applyAlignment="1">
      <x:alignment vertical="center" wrapText="1"/>
    </x:xf>
    <x:xf numFmtId="0" fontId="17" fillId="8" borderId="15" xfId="0" applyNumberFormat="1" applyFont="1" applyFill="1" applyBorder="1" applyAlignment="1">
      <x:alignment vertical="center" wrapText="1"/>
    </x:xf>
    <x:xf numFmtId="0" fontId="17" fillId="8" borderId="17" xfId="0" applyNumberFormat="1" applyFont="1" applyFill="1" applyBorder="1" applyAlignment="1">
      <x:alignment vertical="center" wrapText="1"/>
    </x:xf>
    <x:xf numFmtId="0" fontId="20" fillId="8" borderId="12" xfId="0" applyNumberFormat="1" applyFont="1" applyFill="1" applyBorder="1" applyAlignment="1">
      <x:alignment vertical="center" wrapText="1"/>
    </x:xf>
    <x:xf numFmtId="0" fontId="20" fillId="8" borderId="15" xfId="0" applyNumberFormat="1" applyFont="1" applyFill="1" applyBorder="1" applyAlignment="1">
      <x:alignment vertical="center" wrapText="1"/>
    </x:xf>
    <x:xf numFmtId="0" fontId="20" fillId="8" borderId="17" xfId="0" applyNumberFormat="1" applyFont="1" applyFill="1" applyBorder="1" applyAlignment="1">
      <x:alignment vertical="center" wrapText="1"/>
    </x:xf>
    <x:xf numFmtId="0" fontId="20" fillId="8" borderId="28" xfId="0" applyNumberFormat="1" applyFont="1" applyFill="1" applyBorder="1" applyAlignment="1">
      <x:alignment vertical="center" wrapText="1"/>
    </x:xf>
    <x:xf numFmtId="0" fontId="20" fillId="8" borderId="29" xfId="0" applyNumberFormat="1" applyFont="1" applyFill="1" applyBorder="1" applyAlignment="1">
      <x:alignment vertical="center" wrapText="1"/>
    </x:xf>
    <x:xf numFmtId="0" fontId="20" fillId="8" borderId="30" xfId="0" applyNumberFormat="1" applyFont="1" applyFill="1" applyBorder="1" applyAlignment="1">
      <x:alignment vertical="center" wrapText="1"/>
    </x:xf>
    <x:xf numFmtId="0" fontId="17" fillId="8" borderId="20" xfId="0" applyNumberFormat="1" applyFont="1" applyFill="1" applyBorder="1" applyAlignment="1">
      <x:alignment vertical="center" wrapText="1"/>
    </x:xf>
    <x:xf numFmtId="0" fontId="17" fillId="8" borderId="23" xfId="0" applyNumberFormat="1" applyFont="1" applyFill="1" applyBorder="1" applyAlignment="1">
      <x:alignment vertical="center" wrapText="1"/>
    </x:xf>
    <x:xf numFmtId="0" fontId="17" fillId="8" borderId="25" xfId="0" applyNumberFormat="1" applyFont="1" applyFill="1" applyBorder="1" applyAlignment="1">
      <x:alignment vertical="center" wrapText="1"/>
    </x:xf>
    <x:xf numFmtId="0" fontId="20" fillId="8" borderId="20" xfId="0" applyNumberFormat="1" applyFont="1" applyFill="1" applyBorder="1" applyAlignment="1">
      <x:alignment vertical="center" wrapText="1"/>
    </x:xf>
    <x:xf numFmtId="0" fontId="20" fillId="8" borderId="23" xfId="0" applyNumberFormat="1" applyFont="1" applyFill="1" applyBorder="1" applyAlignment="1">
      <x:alignment vertical="center" wrapText="1"/>
    </x:xf>
    <x:xf numFmtId="0" fontId="20" fillId="8" borderId="25" xfId="0" applyNumberFormat="1" applyFont="1" applyFill="1" applyBorder="1" applyAlignment="1">
      <x:alignment vertical="center" wrapText="1"/>
    </x:xf>
    <x:xf numFmtId="0" fontId="20" fillId="8" borderId="31" xfId="0" applyNumberFormat="1" applyFont="1" applyFill="1" applyBorder="1" applyAlignment="1">
      <x:alignment vertical="center" wrapText="1"/>
    </x:xf>
    <x:xf numFmtId="0" fontId="20" fillId="8" borderId="32" xfId="0" applyNumberFormat="1" applyFont="1" applyFill="1" applyBorder="1" applyAlignment="1">
      <x:alignment vertical="center" wrapText="1"/>
    </x:xf>
    <x:xf numFmtId="0" fontId="20" fillId="8" borderId="33" xfId="0" applyNumberFormat="1" applyFont="1" applyFill="1" applyBorder="1" applyAlignment="1">
      <x:alignment vertical="center" wrapText="1"/>
    </x:xf>
    <x:xf numFmtId="200" fontId="17" fillId="10" borderId="19" xfId="0" applyNumberFormat="1" applyFont="1" applyFill="1" applyBorder="1" applyAlignment="1">
      <x:alignment vertical="center" wrapText="1"/>
    </x:xf>
    <x:xf numFmtId="200" fontId="17" fillId="10" borderId="27" xfId="0" applyNumberFormat="1" applyFont="1" applyFill="1" applyBorder="1" applyAlignment="1">
      <x:alignment vertical="center" wrapText="1"/>
    </x:xf>
    <x:xf numFmtId="205" fontId="17" fillId="10" borderId="13" xfId="0" applyNumberFormat="1" applyFont="1" applyFill="1" applyBorder="1" applyAlignment="1">
      <x:alignment vertical="center" wrapText="1"/>
    </x:xf>
    <x:xf numFmtId="205" fontId="17" fillId="10" borderId="0" xfId="0" applyNumberFormat="1" applyFont="1" applyFill="1" applyBorder="1" applyAlignment="1">
      <x:alignment vertical="center" wrapText="1"/>
    </x:xf>
    <x:xf numFmtId="205" fontId="17" fillId="10" borderId="18" xfId="0" applyNumberFormat="1" applyFont="1" applyFill="1" applyBorder="1" applyAlignment="1">
      <x:alignment vertical="center" wrapText="1"/>
    </x:xf>
    <x:xf numFmtId="205" fontId="17" fillId="10" borderId="21" xfId="0" applyNumberFormat="1" applyFont="1" applyFill="1" applyBorder="1" applyAlignment="1">
      <x:alignment vertical="center" wrapText="1"/>
    </x:xf>
    <x:xf numFmtId="205" fontId="17" fillId="10" borderId="1" xfId="0" applyNumberFormat="1" applyFont="1" applyFill="1" applyBorder="1" applyAlignment="1">
      <x:alignment vertical="center" wrapText="1"/>
    </x:xf>
    <x:xf numFmtId="205" fontId="17" fillId="10" borderId="26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12" xfId="0" applyNumberFormat="1" applyFont="1" applyFill="1" applyBorder="1" applyAlignment="1">
      <x:alignment vertical="center"/>
    </x:xf>
    <x:xf numFmtId="0" fontId="1" fillId="11" borderId="13" xfId="0" applyNumberFormat="1" applyFont="1" applyFill="1" applyBorder="1" applyAlignment="1">
      <x:alignment vertical="center"/>
    </x:xf>
    <x:xf numFmtId="0" fontId="1" fillId="11" borderId="14" xfId="0" applyNumberFormat="1" applyFont="1" applyFill="1" applyBorder="1" applyAlignment="1">
      <x:alignment vertical="center"/>
    </x:xf>
    <x:xf numFmtId="0" fontId="1" fillId="11" borderId="15" xfId="0" applyNumberFormat="1" applyFont="1" applyFill="1" applyBorder="1" applyAlignment="1">
      <x:alignment vertical="center"/>
    </x:xf>
    <x:xf numFmtId="0" fontId="1" fillId="11" borderId="16" xfId="0" applyNumberFormat="1" applyFont="1" applyFill="1" applyBorder="1" applyAlignment="1">
      <x:alignment vertical="center"/>
    </x:xf>
    <x:xf numFmtId="0" fontId="1" fillId="11" borderId="17" xfId="0" applyNumberFormat="1" applyFont="1" applyFill="1" applyBorder="1" applyAlignment="1">
      <x:alignment vertical="center"/>
    </x:xf>
    <x:xf numFmtId="0" fontId="1" fillId="11" borderId="18" xfId="0" applyNumberFormat="1" applyFont="1" applyFill="1" applyBorder="1" applyAlignment="1">
      <x:alignment vertical="center"/>
    </x:xf>
    <x:xf numFmtId="0" fontId="1" fillId="11" borderId="19" xfId="0" applyNumberFormat="1" applyFont="1" applyFill="1" applyBorder="1" applyAlignment="1">
      <x:alignment vertical="center"/>
    </x:xf>
    <x:xf numFmtId="0" fontId="1" fillId="11" borderId="12" xfId="0" applyNumberFormat="1" applyFont="1" applyFill="1" applyBorder="1" applyAlignment="1">
      <x:alignment vertical="center" wrapText="1"/>
    </x:xf>
    <x:xf numFmtId="0" fontId="1" fillId="11" borderId="13" xfId="0" applyNumberFormat="1" applyFont="1" applyFill="1" applyBorder="1" applyAlignment="1">
      <x:alignment vertical="center" wrapText="1"/>
    </x:xf>
    <x:xf numFmtId="0" fontId="1" fillId="11" borderId="14" xfId="0" applyNumberFormat="1" applyFont="1" applyFill="1" applyBorder="1" applyAlignment="1">
      <x:alignment vertical="center" wrapText="1"/>
    </x:xf>
    <x:xf numFmtId="0" fontId="1" fillId="11" borderId="15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16" xfId="0" applyNumberFormat="1" applyFont="1" applyFill="1" applyBorder="1" applyAlignment="1">
      <x:alignment vertical="center" wrapText="1"/>
    </x:xf>
    <x:xf numFmtId="0" fontId="1" fillId="11" borderId="17" xfId="0" applyNumberFormat="1" applyFont="1" applyFill="1" applyBorder="1" applyAlignment="1">
      <x:alignment vertical="center" wrapText="1"/>
    </x:xf>
    <x:xf numFmtId="0" fontId="1" fillId="11" borderId="18" xfId="0" applyNumberFormat="1" applyFont="1" applyFill="1" applyBorder="1" applyAlignment="1">
      <x:alignment vertical="center" wrapText="1"/>
    </x:xf>
    <x:xf numFmtId="0" fontId="1" fillId="11" borderId="19" xfId="0" applyNumberFormat="1" applyFont="1" applyFill="1" applyBorder="1" applyAlignment="1">
      <x:alignment vertical="center" wrapText="1"/>
    </x:xf>
    <x:xf numFmtId="0" fontId="1" fillId="11" borderId="12" xfId="0" applyNumberFormat="1" applyFont="1" applyFill="1" applyBorder="1" applyAlignment="1">
      <x:alignment vertical="top" wrapText="1"/>
    </x:xf>
    <x:xf numFmtId="0" fontId="1" fillId="11" borderId="13" xfId="0" applyNumberFormat="1" applyFont="1" applyFill="1" applyBorder="1" applyAlignment="1">
      <x:alignment vertical="top" wrapText="1"/>
    </x:xf>
    <x:xf numFmtId="0" fontId="1" fillId="11" borderId="14" xfId="0" applyNumberFormat="1" applyFont="1" applyFill="1" applyBorder="1" applyAlignment="1">
      <x:alignment vertical="top" wrapText="1"/>
    </x:xf>
    <x:xf numFmtId="0" fontId="1" fillId="11" borderId="15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16" xfId="0" applyNumberFormat="1" applyFont="1" applyFill="1" applyBorder="1" applyAlignment="1">
      <x:alignment vertical="top" wrapText="1"/>
    </x:xf>
    <x:xf numFmtId="0" fontId="1" fillId="11" borderId="17" xfId="0" applyNumberFormat="1" applyFont="1" applyFill="1" applyBorder="1" applyAlignment="1">
      <x:alignment vertical="top" wrapText="1"/>
    </x:xf>
    <x:xf numFmtId="0" fontId="1" fillId="11" borderId="18" xfId="0" applyNumberFormat="1" applyFont="1" applyFill="1" applyBorder="1" applyAlignment="1">
      <x:alignment vertical="top" wrapText="1"/>
    </x:xf>
    <x:xf numFmtId="0" fontId="1" fillId="11" borderId="19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center"/>
    </x:xf>
    <x:xf numFmtId="0" fontId="1" fillId="11" borderId="20" xfId="0" applyNumberFormat="1" applyFont="1" applyFill="1" applyBorder="1" applyAlignment="1">
      <x:alignment vertical="center"/>
    </x:xf>
    <x:xf numFmtId="0" fontId="1" fillId="11" borderId="21" xfId="0" applyNumberFormat="1" applyFont="1" applyFill="1" applyBorder="1" applyAlignment="1">
      <x:alignment vertical="center"/>
    </x:xf>
    <x:xf numFmtId="0" fontId="1" fillId="11" borderId="22" xfId="0" applyNumberFormat="1" applyFont="1" applyFill="1" applyBorder="1" applyAlignment="1">
      <x:alignment vertical="center"/>
    </x:xf>
    <x:xf numFmtId="0" fontId="1" fillId="11" borderId="23" xfId="0" applyNumberFormat="1" applyFont="1" applyFill="1" applyBorder="1" applyAlignment="1">
      <x:alignment vertical="center"/>
    </x:xf>
    <x:xf numFmtId="0" fontId="1" fillId="11" borderId="24" xfId="0" applyNumberFormat="1" applyFont="1" applyFill="1" applyBorder="1" applyAlignment="1">
      <x:alignment vertical="center"/>
    </x:xf>
    <x:xf numFmtId="0" fontId="1" fillId="11" borderId="25" xfId="0" applyNumberFormat="1" applyFont="1" applyFill="1" applyBorder="1" applyAlignment="1">
      <x:alignment vertical="center"/>
    </x:xf>
    <x:xf numFmtId="0" fontId="1" fillId="11" borderId="26" xfId="0" applyNumberFormat="1" applyFont="1" applyFill="1" applyBorder="1" applyAlignment="1">
      <x:alignment vertical="center"/>
    </x:xf>
    <x:xf numFmtId="0" fontId="1" fillId="11" borderId="27" xfId="0" applyNumberFormat="1" applyFont="1" applyFill="1" applyBorder="1" applyAlignment="1">
      <x:alignment vertical="center"/>
    </x:xf>
    <x:xf numFmtId="0" fontId="1" fillId="11" borderId="20" xfId="0" applyNumberFormat="1" applyFont="1" applyFill="1" applyBorder="1" applyAlignment="1">
      <x:alignment vertical="center" wrapText="1"/>
    </x:xf>
    <x:xf numFmtId="0" fontId="1" fillId="11" borderId="21" xfId="0" applyNumberFormat="1" applyFont="1" applyFill="1" applyBorder="1" applyAlignment="1">
      <x:alignment vertical="center" wrapText="1"/>
    </x:xf>
    <x:xf numFmtId="0" fontId="1" fillId="11" borderId="22" xfId="0" applyNumberFormat="1" applyFont="1" applyFill="1" applyBorder="1" applyAlignment="1">
      <x:alignment vertical="center" wrapText="1"/>
    </x:xf>
    <x:xf numFmtId="0" fontId="1" fillId="11" borderId="23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1" fillId="11" borderId="24" xfId="0" applyNumberFormat="1" applyFont="1" applyFill="1" applyBorder="1" applyAlignment="1">
      <x:alignment vertical="center" wrapText="1"/>
    </x:xf>
    <x:xf numFmtId="0" fontId="1" fillId="11" borderId="25" xfId="0" applyNumberFormat="1" applyFont="1" applyFill="1" applyBorder="1" applyAlignment="1">
      <x:alignment vertical="center" wrapText="1"/>
    </x:xf>
    <x:xf numFmtId="0" fontId="1" fillId="11" borderId="26" xfId="0" applyNumberFormat="1" applyFont="1" applyFill="1" applyBorder="1" applyAlignment="1">
      <x:alignment vertical="center" wrapText="1"/>
    </x:xf>
    <x:xf numFmtId="0" fontId="1" fillId="11" borderId="27" xfId="0" applyNumberFormat="1" applyFont="1" applyFill="1" applyBorder="1" applyAlignment="1">
      <x:alignment vertical="center" wrapText="1"/>
    </x:xf>
    <x:xf numFmtId="0" fontId="1" fillId="11" borderId="20" xfId="0" applyNumberFormat="1" applyFont="1" applyFill="1" applyBorder="1" applyAlignment="1">
      <x:alignment vertical="top" wrapText="1"/>
    </x:xf>
    <x:xf numFmtId="0" fontId="1" fillId="11" borderId="21" xfId="0" applyNumberFormat="1" applyFont="1" applyFill="1" applyBorder="1" applyAlignment="1">
      <x:alignment vertical="top" wrapText="1"/>
    </x:xf>
    <x:xf numFmtId="0" fontId="1" fillId="11" borderId="22" xfId="0" applyNumberFormat="1" applyFont="1" applyFill="1" applyBorder="1" applyAlignment="1">
      <x:alignment vertical="top" wrapText="1"/>
    </x:xf>
    <x:xf numFmtId="0" fontId="1" fillId="11" borderId="23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1" fillId="11" borderId="24" xfId="0" applyNumberFormat="1" applyFont="1" applyFill="1" applyBorder="1" applyAlignment="1">
      <x:alignment vertical="top" wrapText="1"/>
    </x:xf>
    <x:xf numFmtId="0" fontId="1" fillId="11" borderId="25" xfId="0" applyNumberFormat="1" applyFont="1" applyFill="1" applyBorder="1" applyAlignment="1">
      <x:alignment vertical="top" wrapText="1"/>
    </x:xf>
    <x:xf numFmtId="0" fontId="1" fillId="11" borderId="26" xfId="0" applyNumberFormat="1" applyFont="1" applyFill="1" applyBorder="1" applyAlignment="1">
      <x:alignment vertical="top" wrapText="1"/>
    </x:xf>
    <x:xf numFmtId="0" fontId="1" fillId="11" borderId="27" xfId="0" applyNumberFormat="1" applyFont="1" applyFill="1" applyBorder="1" applyAlignment="1">
      <x:alignment vertical="top" wrapText="1"/>
    </x:xf>
    <x:xf numFmtId="0" fontId="17" fillId="8" borderId="13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18" xfId="0" applyNumberFormat="1" applyFont="1" applyFill="1" applyBorder="1" applyAlignment="1">
      <x:alignment vertical="center" wrapText="1"/>
    </x:xf>
    <x:xf numFmtId="0" fontId="21" fillId="8" borderId="13" xfId="0" applyNumberFormat="1" applyFont="1" applyFill="1" applyBorder="1" applyAlignment="1">
      <x:alignment vertical="center" wrapText="1"/>
    </x:xf>
    <x:xf numFmtId="0" fontId="21" fillId="8" borderId="0" xfId="0" applyNumberFormat="1" applyFont="1" applyFill="1" applyBorder="1" applyAlignment="1">
      <x:alignment vertical="center" wrapText="1"/>
    </x:xf>
    <x:xf numFmtId="0" fontId="21" fillId="8" borderId="18" xfId="0" applyNumberFormat="1" applyFont="1" applyFill="1" applyBorder="1" applyAlignment="1">
      <x:alignment vertical="center" wrapText="1"/>
    </x:xf>
    <x:xf numFmtId="0" fontId="21" fillId="8" borderId="28" xfId="0" applyNumberFormat="1" applyFont="1" applyFill="1" applyBorder="1" applyAlignment="1">
      <x:alignment vertical="center" wrapText="1"/>
    </x:xf>
    <x:xf numFmtId="0" fontId="21" fillId="8" borderId="29" xfId="0" applyNumberFormat="1" applyFont="1" applyFill="1" applyBorder="1" applyAlignment="1">
      <x:alignment vertical="center" wrapText="1"/>
    </x:xf>
    <x:xf numFmtId="0" fontId="21" fillId="8" borderId="30" xfId="0" applyNumberFormat="1" applyFont="1" applyFill="1" applyBorder="1" applyAlignment="1">
      <x:alignment vertical="center" wrapText="1"/>
    </x:xf>
    <x:xf numFmtId="0" fontId="17" fillId="8" borderId="21" xfId="0" applyNumberFormat="1" applyFont="1" applyFill="1" applyBorder="1" applyAlignment="1">
      <x:alignment vertical="center" wrapText="1"/>
    </x:xf>
    <x:xf numFmtId="0" fontId="17" fillId="8" borderId="1" xfId="0" applyNumberFormat="1" applyFont="1" applyFill="1" applyBorder="1" applyAlignment="1">
      <x:alignment vertical="center" wrapText="1"/>
    </x:xf>
    <x:xf numFmtId="0" fontId="17" fillId="8" borderId="26" xfId="0" applyNumberFormat="1" applyFont="1" applyFill="1" applyBorder="1" applyAlignment="1">
      <x:alignment vertical="center" wrapText="1"/>
    </x:xf>
    <x:xf numFmtId="0" fontId="21" fillId="8" borderId="21" xfId="0" applyNumberFormat="1" applyFont="1" applyFill="1" applyBorder="1" applyAlignment="1">
      <x:alignment vertical="center" wrapText="1"/>
    </x:xf>
    <x:xf numFmtId="0" fontId="21" fillId="8" borderId="1" xfId="0" applyNumberFormat="1" applyFont="1" applyFill="1" applyBorder="1" applyAlignment="1">
      <x:alignment vertical="center" wrapText="1"/>
    </x:xf>
    <x:xf numFmtId="0" fontId="21" fillId="8" borderId="26" xfId="0" applyNumberFormat="1" applyFont="1" applyFill="1" applyBorder="1" applyAlignment="1">
      <x:alignment vertical="center" wrapText="1"/>
    </x:xf>
    <x:xf numFmtId="0" fontId="21" fillId="8" borderId="31" xfId="0" applyNumberFormat="1" applyFont="1" applyFill="1" applyBorder="1" applyAlignment="1">
      <x:alignment vertical="center" wrapText="1"/>
    </x:xf>
    <x:xf numFmtId="0" fontId="21" fillId="8" borderId="32" xfId="0" applyNumberFormat="1" applyFont="1" applyFill="1" applyBorder="1" applyAlignment="1">
      <x:alignment vertical="center" wrapText="1"/>
    </x:xf>
    <x:xf numFmtId="0" fontId="21" fillId="8" borderId="33" xfId="0" applyNumberFormat="1" applyFont="1" applyFill="1" applyBorder="1" applyAlignment="1">
      <x:alignment vertical="center"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28" xfId="0" applyNumberFormat="1" applyFont="1" applyFill="1" applyBorder="1" applyAlignment="1">
      <x:alignment vertical="center" wrapText="1"/>
    </x:xf>
    <x:xf numFmtId="0" fontId="13" fillId="6" borderId="29" xfId="0" applyNumberFormat="1" applyFont="1" applyFill="1" applyBorder="1" applyAlignment="1">
      <x:alignment vertical="center" wrapText="1"/>
    </x:xf>
    <x:xf numFmtId="0" fontId="13" fillId="6" borderId="30" xfId="0" applyNumberFormat="1" applyFont="1" applyFill="1" applyBorder="1" applyAlignment="1">
      <x:alignment vertical="center" wrapText="1"/>
    </x:xf>
    <x:xf numFmtId="0" fontId="13" fillId="6" borderId="28" xfId="0" applyNumberFormat="1" applyFont="1" applyFill="1" applyBorder="1" applyAlignment="1">
      <x:alignment horizontal="center" vertical="center" wrapText="1"/>
    </x:xf>
    <x:xf numFmtId="0" fontId="13" fillId="6" borderId="29" xfId="0" applyNumberFormat="1" applyFont="1" applyFill="1" applyBorder="1" applyAlignment="1">
      <x:alignment horizontal="center" vertical="center" wrapText="1"/>
    </x:xf>
    <x:xf numFmtId="0" fontId="13" fillId="6" borderId="30" xfId="0" applyNumberFormat="1" applyFont="1" applyFill="1" applyBorder="1" applyAlignment="1">
      <x:alignment horizontal="center" vertical="center" wrapText="1"/>
    </x:xf>
    <x:xf numFmtId="0" fontId="13" fillId="6" borderId="21" xfId="0" applyNumberFormat="1" applyFont="1" applyFill="1" applyBorder="1" applyAlignment="1">
      <x:alignment vertical="center" wrapText="1"/>
    </x:xf>
    <x:xf numFmtId="0" fontId="13" fillId="6" borderId="26" xfId="0" applyNumberFormat="1" applyFont="1" applyFill="1" applyBorder="1" applyAlignment="1">
      <x:alignment vertical="center" wrapText="1"/>
    </x:xf>
    <x:xf numFmtId="0" fontId="13" fillId="6" borderId="31" xfId="0" applyNumberFormat="1" applyFont="1" applyFill="1" applyBorder="1" applyAlignment="1">
      <x:alignment vertical="center" wrapText="1"/>
    </x:xf>
    <x:xf numFmtId="0" fontId="13" fillId="6" borderId="32" xfId="0" applyNumberFormat="1" applyFont="1" applyFill="1" applyBorder="1" applyAlignment="1">
      <x:alignment vertical="center" wrapText="1"/>
    </x:xf>
    <x:xf numFmtId="0" fontId="13" fillId="6" borderId="33" xfId="0" applyNumberFormat="1" applyFont="1" applyFill="1" applyBorder="1" applyAlignment="1">
      <x:alignment vertical="center" wrapText="1"/>
    </x:xf>
    <x:xf numFmtId="0" fontId="13" fillId="6" borderId="31" xfId="0" applyNumberFormat="1" applyFont="1" applyFill="1" applyBorder="1" applyAlignment="1">
      <x:alignment horizontal="center" vertical="center" wrapText="1"/>
    </x:xf>
    <x:xf numFmtId="0" fontId="13" fillId="6" borderId="32" xfId="0" applyNumberFormat="1" applyFont="1" applyFill="1" applyBorder="1" applyAlignment="1">
      <x:alignment horizontal="center" vertical="center" wrapText="1"/>
    </x:xf>
    <x:xf numFmtId="0" fontId="13" fillId="6" borderId="33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 applyAlignment="1">
      <x:alignment vertical="center"/>
    </x:xf>
    <x:xf numFmtId="0" fontId="22" fillId="7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7" fillId="4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wrapText="1"/>
    </x:xf>
    <x:xf numFmtId="200" fontId="17" fillId="10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left"/>
    </x:xf>
    <x:xf numFmtId="0" fontId="19" fillId="12" borderId="0" xfId="0" applyNumberFormat="1" applyFont="1" applyFill="1" applyBorder="1" applyAlignment="1">
      <x:alignment horizontal="left" vertical="center"/>
    </x:xf>
    <x:xf numFmtId="0" fontId="3" fillId="13" borderId="0" xfId="0" applyNumberFormat="1" applyFont="1" applyFill="1" applyBorder="1" applyAlignment="1">
      <x:alignment horizontal="right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right" wrapText="1"/>
    </x:xf>
    <x:xf numFmtId="0" fontId="13" fillId="14" borderId="2" xfId="0" applyNumberFormat="1" applyFont="1" applyFill="1" applyBorder="1" applyAlignment="1">
      <x:alignment horizontal="left" vertical="center" wrapText="1"/>
    </x:xf>
    <x:xf numFmtId="0" fontId="13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34" xfId="0" applyNumberFormat="1" applyFont="1" applyFill="1" applyBorder="1" applyAlignment="1">
      <x:alignment horizontal="left" vertical="center" wrapText="1"/>
    </x:xf>
    <x:xf numFmtId="0" fontId="13" fillId="14" xfId="0" applyNumberFormat="1" applyFont="1" applyFill="1" applyBorder="0" applyAlignment="1">
      <x:alignment horizontal="left" vertical="center" wrapText="1"/>
    </x:xf>
    <x:xf numFmtId="0" fontId="13" fillId="14" xfId="0" applyNumberFormat="1" applyFont="1" applyFill="1" applyBorder="0"/>
    <x:xf numFmtId="0" fontId="13" fillId="14" xfId="0" applyNumberFormat="1" applyFont="1" applyFill="1" applyBorder="0" applyAlignment="1">
      <x:alignment wrapText="1"/>
    </x:xf>
    <x:xf numFmtId="0" fontId="13" fillId="14" xfId="0" applyNumberFormat="1" applyFont="1" applyFill="1" applyBorder="0" applyAlignment="1">
      <x:alignment horizontal="left" wrapText="1"/>
    </x:xf>
    <x:xf numFmtId="0" fontId="14" fillId="13" borderId="0" xfId="0" applyNumberFormat="1" applyFont="1" applyFill="1" applyBorder="1" applyAlignment="1">
      <x:alignment horizontal="right" vertical="center" wrapText="1"/>
    </x:xf>
    <x:xf numFmtId="0" fontId="14" fillId="13" borderId="4" xfId="0" applyNumberFormat="1" applyFont="1" applyFill="1" applyBorder="1" applyAlignment="1">
      <x:alignment horizontal="right" vertical="center" wrapText="1"/>
    </x:xf>
    <x:xf numFmtId="0" fontId="14" fillId="13" borderId="0" xfId="0" applyNumberFormat="1" applyFont="1" applyFill="1" applyBorder="1"/>
    <x:xf numFmtId="0" fontId="14" fillId="13" xfId="0" applyNumberFormat="1" applyFont="1" applyFill="1" applyBorder="0" applyAlignment="1">
      <x:alignment horizontal="right" vertical="center" wrapText="1"/>
    </x:xf>
    <x:xf numFmtId="0" fontId="14" fillId="13" borderId="35" xfId="0" applyNumberFormat="1" applyFont="1" applyFill="1" applyBorder="1"/>
    <x:xf numFmtId="0" fontId="14" fillId="13" borderId="35" xfId="0" applyNumberFormat="1" applyFont="1" applyFill="1" applyBorder="1" applyAlignment="1">
      <x:alignment wrapText="1"/>
    </x:xf>
    <x:xf numFmtId="0" fontId="14" fillId="13" borderId="35" xfId="0" applyNumberFormat="1" applyFont="1" applyFill="1" applyBorder="1" applyAlignment="1">
      <x:alignment horizontal="right" wrapText="1"/>
    </x:xf>
    <x:xf numFmtId="0" fontId="14" fillId="13" borderId="35" xfId="0" applyNumberFormat="1" applyFont="1" applyFill="1" applyBorder="1" applyAlignment="1">
      <x:alignment horizontal="right" vertical="center" wrapText="1"/>
    </x:xf>
    <x:xf numFmtId="0" fontId="16" fillId="12" borderId="6" xfId="0" applyNumberFormat="1" applyFont="1" applyFill="1" applyBorder="1" applyAlignment="1">
      <x:alignment horizontal="center" vertical="center" wrapText="1"/>
    </x:xf>
    <x:xf numFmtId="0" fontId="16" fillId="12" borderId="7" xfId="0" applyNumberFormat="1" applyFont="1" applyFill="1" applyBorder="1" applyAlignment="1">
      <x:alignment horizontal="center" vertical="center" wrapText="1"/>
    </x:xf>
    <x:xf numFmtId="0" fontId="16" fillId="12" borderId="8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/>
    <x:xf numFmtId="0" fontId="16" fillId="12" borderId="36" xfId="0" applyNumberFormat="1" applyFont="1" applyFill="1" applyBorder="1" applyAlignment="1">
      <x:alignment horizontal="center" vertical="center" wrapText="1"/>
    </x:xf>
    <x:xf numFmtId="0" fontId="16" fillId="12" borderId="37" xfId="0" applyNumberFormat="1" applyFont="1" applyFill="1" applyBorder="1" applyAlignment="1">
      <x:alignment horizontal="center" vertical="center" wrapText="1"/>
    </x:xf>
    <x:xf numFmtId="0" fontId="16" fillId="12" borderId="38" xfId="0" applyNumberFormat="1" applyFont="1" applyFill="1" applyBorder="1" applyAlignment="1">
      <x:alignment horizontal="center" vertical="center" wrapText="1"/>
    </x:xf>
    <x:xf numFmtId="0" fontId="16" fillId="12" borderId="39" xfId="0" applyNumberFormat="1" applyFont="1" applyFill="1" applyBorder="1"/>
    <x:xf numFmtId="0" fontId="16" fillId="12" borderId="39" xfId="0" applyNumberFormat="1" applyFont="1" applyFill="1" applyBorder="1" applyAlignment="1">
      <x:alignment wrapText="1"/>
    </x:xf>
    <x:xf numFmtId="0" fontId="16" fillId="12" borderId="39" xfId="0" applyNumberFormat="1" applyFont="1" applyFill="1" applyBorder="1" applyAlignment="1">
      <x:alignment horizontal="center" wrapText="1"/>
    </x:xf>
    <x:xf numFmtId="0" fontId="16" fillId="12" borderId="39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 applyAlignment="1">
      <x:alignment horizontal="center" vertical="center" wrapText="1"/>
    </x:xf>
    <x:xf numFmtId="0" fontId="17" fillId="15" borderId="13" xfId="0" applyNumberFormat="1" applyFont="1" applyFill="1" applyBorder="1" applyAlignment="1">
      <x:alignment vertical="center" wrapText="1"/>
    </x:xf>
    <x:xf numFmtId="203" fontId="17" fillId="15" borderId="13" xfId="0" applyNumberFormat="1" applyFont="1" applyFill="1" applyBorder="1" applyAlignment="1">
      <x:alignment vertical="center" wrapText="1"/>
    </x:xf>
    <x:xf numFmtId="0" fontId="17" fillId="15" borderId="14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 applyAlignment="1">
      <x:alignment vertical="center" wrapText="1"/>
    </x:xf>
    <x:xf numFmtId="203" fontId="17" fillId="15" borderId="0" xfId="0" applyNumberFormat="1" applyFont="1" applyFill="1" applyBorder="1" applyAlignment="1">
      <x:alignment vertical="center" wrapText="1"/>
    </x:xf>
    <x:xf numFmtId="0" fontId="17" fillId="15" borderId="4" xfId="0" applyNumberFormat="1" applyFont="1" applyFill="1" applyBorder="1" applyAlignment="1">
      <x:alignment vertical="center" wrapText="1"/>
    </x:xf>
    <x:xf numFmtId="0" fontId="17" fillId="15" borderId="18" xfId="0" applyNumberFormat="1" applyFont="1" applyFill="1" applyBorder="1" applyAlignment="1">
      <x:alignment vertical="center" wrapText="1"/>
    </x:xf>
    <x:xf numFmtId="203" fontId="17" fillId="15" borderId="18" xfId="0" applyNumberFormat="1" applyFont="1" applyFill="1" applyBorder="1" applyAlignment="1">
      <x:alignment vertical="center" wrapText="1"/>
    </x:xf>
    <x:xf numFmtId="0" fontId="17" fillId="15" borderId="19" xfId="0" applyNumberFormat="1" applyFont="1" applyFill="1" applyBorder="1" applyAlignment="1">
      <x:alignment vertical="center" wrapText="1"/>
    </x:xf>
    <x:xf numFmtId="200" fontId="17" fillId="15" borderId="13" xfId="0" applyNumberFormat="1" applyFont="1" applyFill="1" applyBorder="1" applyAlignment="1">
      <x:alignment vertical="center" wrapText="1"/>
    </x:xf>
    <x:xf numFmtId="200" fontId="17" fillId="15" borderId="0" xfId="0" applyNumberFormat="1" applyFont="1" applyFill="1" applyBorder="1" applyAlignment="1">
      <x:alignment vertical="center" wrapText="1"/>
    </x:xf>
    <x:xf numFmtId="200" fontId="17" fillId="15" borderId="18" xfId="0" applyNumberFormat="1" applyFont="1" applyFill="1" applyBorder="1" applyAlignment="1">
      <x:alignment vertical="center" wrapText="1"/>
    </x:xf>
    <x:xf numFmtId="203" fontId="17" fillId="15" borderId="14" xfId="0" applyNumberFormat="1" applyFont="1" applyFill="1" applyBorder="1" applyAlignment="1">
      <x:alignment vertical="center" wrapText="1"/>
    </x:xf>
    <x:xf numFmtId="203" fontId="17" fillId="15" borderId="4" xfId="0" applyNumberFormat="1" applyFont="1" applyFill="1" applyBorder="1" applyAlignment="1">
      <x:alignment vertical="center" wrapText="1"/>
    </x:xf>
    <x:xf numFmtId="203" fontId="17" fillId="15" borderId="1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50BE87"/>
      </x:font>
      <x:fill>
        <x:patternFill>
          <x:bgColor rgb="FFEAF8F1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FF7900"/>
      </x:font>
      <x:fill>
        <x:patternFill>
          <x:bgColor rgb="FFFFF3E8"/>
        </x:patternFill>
      </x:fill>
    </x:dxf>
    <x:dxf>
      <x:font>
        <x:b/>
        <x:color rgb="FF50BE87"/>
      </x:font>
      <x:fill>
        <x:patternFill>
          <x:bgColor rgb="FFEAF8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50BE87"/>
      </x:font>
      <x:fill>
        <x:patternFill patternType="solid">
          <x:bgColor rgb="FFEA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df1ee0a6549ef" /><Relationship Type="http://schemas.openxmlformats.org/officeDocument/2006/relationships/theme" Target="/xl/theme/theme1.xml" Id="Rb657f2df564746f5" /><Relationship Type="http://schemas.openxmlformats.org/officeDocument/2006/relationships/sharedStrings" Target="/xl/sharedStrings.xml" Id="R12246e4b6e83484c" /><Relationship Type="http://schemas.openxmlformats.org/officeDocument/2006/relationships/worksheet" Target="/xl/worksheets/sheet1.xml" Id="Rf087ab5f913a4b76" /><Relationship Type="http://schemas.openxmlformats.org/officeDocument/2006/relationships/worksheet" Target="/xl/worksheets/sheet2.xml" Id="Reeb6cfcf1d84415e" /><Relationship Type="http://schemas.openxmlformats.org/officeDocument/2006/relationships/worksheet" Target="/xl/worksheets/sheet3.xml" Id="Rd102254391d74f7e" /><Relationship Type="http://schemas.openxmlformats.org/officeDocument/2006/relationships/worksheet" Target="/xl/worksheets/sheet4.xml" Id="Re96475f8be804d2e" /><Relationship Type="http://schemas.openxmlformats.org/officeDocument/2006/relationships/worksheet" Target="/xl/worksheets/sheet5.xml" Id="R5f6b098b2cb74a4a" /><Relationship Type="http://schemas.openxmlformats.org/officeDocument/2006/relationships/worksheet" Target="/xl/worksheets/sheet6.xml" Id="R169435c6b8c54bc3" /><Relationship Type="http://schemas.openxmlformats.org/officeDocument/2006/relationships/worksheet" Target="/xl/worksheets/sheet7.xml" Id="Rec5b7a8657294aef" /><Relationship Type="http://schemas.openxmlformats.org/officeDocument/2006/relationships/worksheet" Target="/xl/worksheets/sheet8.xml" Id="R2f74905a30014dea" /><Relationship Type="http://schemas.openxmlformats.org/officeDocument/2006/relationships/worksheet" Target="/xl/worksheets/sheet9.xml" Id="Rc37814805cec4b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90204bd274f415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4762500" cy="14287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0204bd274f41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6e3a0f0ad14839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" hidden="0" customWidth="1"/>
  </x:cols>
  <x:sheetData>
    <x:row r="1" ht="21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1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1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21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21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</x:row>
    <x:row r="8" ht="21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9" ht="7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</x:row>
    <x:row r="10" ht="21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</x:row>
    <x:row r="11" ht="27" customHeight="1">
      <x:c r="A11" s="4"/>
      <x:c r="B11" s="13" t="str">
        <x:v>DAY 1 • INTEGRATED BUSINESS ASSIGNMENT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4"/>
    </x:row>
    <x:row r="12" ht="27" customHeight="1">
      <x:c r="A12" s="4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4"/>
    </x:row>
    <x:row r="13" ht="27" customHeight="1">
      <x:c r="A13" s="4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4"/>
    </x:row>
    <x:row r="14" ht="27" customHeight="1">
      <x:c r="A14" s="4"/>
      <x:c r="B14" s="21" t="str">
        <x:v>مهمة اليوم الأول • اربط الأدوات مع بعض بدل ما تحل كل دالة لحالها</x:v>
      </x:c>
      <x:c r="C14" s="21"/>
      <x:c r="D14" s="21"/>
      <x:c r="E14" s="21"/>
      <x:c r="F14" s="21"/>
      <x:c r="G14" s="21"/>
      <x:c r="H14" s="21"/>
      <x:c r="I14" s="21"/>
      <x:c r="J14" s="21"/>
      <x:c r="K14" s="21"/>
      <x:c r="L14" s="4"/>
    </x:row>
    <x:row r="15" ht="27" customHeight="1">
      <x:c r="A15" s="4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4"/>
    </x:row>
    <x:row r="16" ht="21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27" customHeight="1">
      <x:c r="A17" s="4"/>
      <x:c r="B17" s="29" t="str">
        <x:v>4:30 PM. The operations manager needs a clean, enriched, decision-ready file before tomorrow morning.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4"/>
    </x:row>
    <x:row r="18" ht="27" customHeight="1">
      <x:c r="A18" s="4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4"/>
    </x:row>
    <x:row r="19" ht="21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21" customHeight="1">
      <x:c r="A20" s="4"/>
      <x:c r="B20" s="36" t="str">
        <x:v>ADVANCED EXCEL  •  CODERZ × ORANGE JORDAN  •  DAY 1</x:v>
      </x:c>
      <x:c r="C20" s="36"/>
      <x:c r="D20" s="36"/>
      <x:c r="E20" s="36"/>
      <x:c r="F20" s="36"/>
      <x:c r="G20" s="36"/>
      <x:c r="H20" s="36"/>
      <x:c r="I20" s="36"/>
      <x:c r="J20" s="36"/>
      <x:c r="K20" s="36"/>
      <x:c r="L20" s="4"/>
    </x:row>
    <x:row r="21" ht="21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 ht="21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 ht="27" customHeight="1">
      <x:c r="A23" s="4"/>
      <x:c r="B23" s="42" t="str">
        <x:v>01
PARSE
Text → Fields</x:v>
      </x:c>
      <x:c r="C23" s="42"/>
      <x:c r="D23" s="42"/>
      <x:c r="E23" s="48" t="str">
        <x:v>02
ENRICH
XLOOKUP → Context</x:v>
      </x:c>
      <x:c r="F23" s="48"/>
      <x:c r="G23" s="48"/>
      <x:c r="H23" s="55" t="str">
        <x:v>03
DECIDE
Logic → Action</x:v>
      </x:c>
      <x:c r="I23" s="55"/>
      <x:c r="J23" s="55"/>
      <x:c r="K23" s="4"/>
      <x:c r="L23" s="4"/>
    </x:row>
    <x:row r="24" ht="27" customHeight="1">
      <x:c r="A24" s="4"/>
      <x:c r="B24" s="42"/>
      <x:c r="C24" s="42"/>
      <x:c r="D24" s="42"/>
      <x:c r="E24" s="48"/>
      <x:c r="F24" s="48"/>
      <x:c r="G24" s="48"/>
      <x:c r="H24" s="55"/>
      <x:c r="I24" s="55"/>
      <x:c r="J24" s="55"/>
      <x:c r="K24" s="4"/>
      <x:c r="L24" s="4"/>
    </x:row>
    <x:row r="25" ht="27" customHeight="1">
      <x:c r="A25" s="4"/>
      <x:c r="B25" s="42"/>
      <x:c r="C25" s="42"/>
      <x:c r="D25" s="42"/>
      <x:c r="E25" s="48"/>
      <x:c r="F25" s="48"/>
      <x:c r="G25" s="48"/>
      <x:c r="H25" s="55"/>
      <x:c r="I25" s="55"/>
      <x:c r="J25" s="55"/>
      <x:c r="K25" s="4"/>
      <x:c r="L25" s="4"/>
    </x:row>
    <x:row r="26" ht="27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7" customHeight="1">
      <x:c r="A27" s="4"/>
      <x:c r="B27" s="63" t="str">
        <x:v>04
MEASURE
Dates + Criteria</x:v>
      </x:c>
      <x:c r="C27" s="63"/>
      <x:c r="D27" s="63"/>
      <x:c r="E27" s="63"/>
      <x:c r="F27" s="63"/>
      <x:c r="G27" s="71" t="str">
        <x:v>05
REPORT
Dynamic Arrays + Management Questions</x:v>
      </x:c>
      <x:c r="H27" s="71"/>
      <x:c r="I27" s="71"/>
      <x:c r="J27" s="71"/>
      <x:c r="K27" s="4"/>
      <x:c r="L27" s="4"/>
    </x:row>
    <x:row r="28" ht="27" customHeight="1">
      <x:c r="A28" s="4"/>
      <x:c r="B28" s="63"/>
      <x:c r="C28" s="63"/>
      <x:c r="D28" s="63"/>
      <x:c r="E28" s="63"/>
      <x:c r="F28" s="63"/>
      <x:c r="G28" s="71"/>
      <x:c r="H28" s="71"/>
      <x:c r="I28" s="71"/>
      <x:c r="J28" s="71"/>
      <x:c r="K28" s="4"/>
      <x:c r="L28" s="4"/>
    </x:row>
    <x:row r="29" ht="27" customHeight="1">
      <x:c r="A29" s="4"/>
      <x:c r="B29" s="63"/>
      <x:c r="C29" s="63"/>
      <x:c r="D29" s="63"/>
      <x:c r="E29" s="63"/>
      <x:c r="F29" s="63"/>
      <x:c r="G29" s="71"/>
      <x:c r="H29" s="71"/>
      <x:c r="I29" s="71"/>
      <x:c r="J29" s="71"/>
      <x:c r="K29" s="4"/>
      <x:c r="L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 ht="21" customHeight="1">
      <x:c r="A32" s="4"/>
      <x:c r="B32" s="78" t="str">
        <x:v>Suggested time: 45–60 minutes  •  Individual first, then compare logic with a partner.</x:v>
      </x:c>
      <x:c r="C32" s="78"/>
      <x:c r="D32" s="78"/>
      <x:c r="E32" s="78"/>
      <x:c r="F32" s="78"/>
      <x:c r="G32" s="78"/>
      <x:c r="H32" s="78"/>
      <x:c r="I32" s="78"/>
      <x:c r="J32" s="78"/>
      <x:c r="K32" s="78"/>
      <x:c r="L32" s="4"/>
    </x:row>
    <x:row r="33" ht="21" customHeight="1">
      <x:c r="A33" s="4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</x:sheetData>
  <x:mergeCells>
    <x:mergeCell ref="B11:K13"/>
    <x:mergeCell ref="B14:K15"/>
    <x:mergeCell ref="B17:K18"/>
    <x:mergeCell ref="B20:K20"/>
    <x:mergeCell ref="B23:D25"/>
    <x:mergeCell ref="E23:G25"/>
    <x:mergeCell ref="H23:J25"/>
    <x:mergeCell ref="B27:F29"/>
    <x:mergeCell ref="G27:J29"/>
    <x:mergeCell ref="B32:K33"/>
  </x:mergeCells>
  <x:pageMargins left="0.7" right="0.7" top="0.75" bottom="0.75" header="0.3" footer="0.3"/>
  <x:drawing xmlns:r="http://schemas.openxmlformats.org/officeDocument/2006/relationships" r:id="R646e3a0f0ad14839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46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1" customHeight="1">
      <x:c r="A1" s="84" t="str">
        <x:v>THE 4:30 PM HANDOVER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 ht="21" customHeight="1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21" customHeight="1">
      <x:c r="A3" s="21" t="str">
        <x:v>ملف العمليات لازم يكون جاهز للإدارة قبل بكرة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94" t="str">
        <x:v>YOUR MISSION  •  Complete the tasks in order. Do not repair the source data manually. Use formulas and dynamic arrays.</x:v>
      </x:c>
      <x:c r="B5" s="90"/>
      <x:c r="C5" s="90"/>
      <x:c r="D5" s="90"/>
      <x:c r="E5" s="90"/>
      <x:c r="F5" s="90"/>
      <x:c r="G5" s="90"/>
      <x:c r="H5" s="90"/>
      <x:c r="I5" s="90"/>
      <x:c r="J5" s="90"/>
    </x:row>
    <x:row r="6" ht="21" customHeight="1">
      <x:c r="A6" s="94"/>
      <x:c r="B6" s="90"/>
      <x:c r="C6" s="90"/>
      <x:c r="D6" s="90"/>
      <x:c r="E6" s="90"/>
      <x:c r="F6" s="90"/>
      <x:c r="G6" s="90"/>
      <x:c r="H6" s="90"/>
      <x:c r="I6" s="90"/>
      <x:c r="J6" s="90"/>
    </x:row>
    <x:row r="7" ht="21" customHeight="1">
      <x:c r="A7" s="98" t="str">
        <x:v>المطلوب منك  •  حلّ المهام بالترتيب. لا تصلّح بيانات المصدر يدوياً؛ استخدم المعادلات والمصفوفات الديناميكية.</x:v>
      </x:c>
      <x:c r="B7" s="98"/>
      <x:c r="C7" s="98"/>
      <x:c r="D7" s="98"/>
      <x:c r="E7" s="98"/>
      <x:c r="F7" s="98"/>
      <x:c r="G7" s="98"/>
      <x:c r="H7" s="98"/>
      <x:c r="I7" s="98"/>
      <x:c r="J7" s="102"/>
    </x:row>
    <x:row r="8" ht="21" customHeight="1">
      <x:c r="A8" s="98"/>
      <x:c r="B8" s="98"/>
      <x:c r="C8" s="98"/>
      <x:c r="D8" s="98"/>
      <x:c r="E8" s="98"/>
      <x:c r="F8" s="98"/>
      <x:c r="G8" s="98"/>
      <x:c r="H8" s="98"/>
      <x:c r="I8" s="98"/>
      <x:c r="J8" s="102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 ht="21" customHeight="1">
      <x:c r="A10" s="106" t="str">
        <x:v>SCENARIO  •  You received a Customer Master and a raw Service Order Feed. Your job is to parse, enrich, validate, classify and answer management questions.</x:v>
      </x:c>
      <x:c r="B10" s="106"/>
      <x:c r="C10" s="106"/>
      <x:c r="D10" s="106"/>
      <x:c r="E10" s="106"/>
      <x:c r="F10" s="106"/>
      <x:c r="G10" s="106"/>
      <x:c r="H10" s="106"/>
      <x:c r="I10" s="106"/>
      <x:c r="J10" s="106"/>
    </x:row>
    <x:row r="11" ht="21" customHeight="1">
      <x:c r="A11" s="106"/>
      <x:c r="B11" s="106"/>
      <x:c r="C11" s="106"/>
      <x:c r="D11" s="106"/>
      <x:c r="E11" s="106"/>
      <x:c r="F11" s="106"/>
      <x:c r="G11" s="106"/>
      <x:c r="H11" s="106"/>
      <x:c r="I11" s="106"/>
      <x:c r="J11" s="106"/>
    </x:row>
    <x:row r="12" ht="21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21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38" customHeight="1">
      <x:c r="A14" s="117" t="str">
        <x:v>#</x:v>
      </x:c>
      <x:c r="B14" s="118" t="str">
        <x:v>STAGE</x:v>
      </x:c>
      <x:c r="C14" s="118" t="str">
        <x:v>BUSINESS TASK</x:v>
      </x:c>
      <x:c r="D14" s="118" t="str">
        <x:v>WORKSHEET</x:v>
      </x:c>
      <x:c r="E14" s="119" t="str">
        <x:v>STATUS</x:v>
      </x:c>
      <x:c r="F14" s="4"/>
      <x:c r="G14" s="4"/>
      <x:c r="H14" s="4"/>
      <x:c r="I14" s="4"/>
      <x:c r="J14" s="4"/>
    </x:row>
    <x:row r="15" ht="38" customHeight="1">
      <x:c r="A15" s="172" t="n">
        <x:v>1</x:v>
      </x:c>
      <x:c r="B15" s="193" t="str">
        <x:v>PARSE</x:v>
      </x:c>
      <x:c r="C15" s="140" t="str">
        <x:v>Extract Region, Service, Customer ID and Order Type from the Composite Key.</x:v>
      </x:c>
      <x:c r="D15" s="140" t="str">
        <x:v>04_WORKSPACE_A</x:v>
      </x:c>
      <x:c r="E15" s="208" t="str">
        <x:v>Not Started</x:v>
      </x:c>
      <x:c r="F15" s="4"/>
      <x:c r="G15" s="4"/>
      <x:c r="H15" s="4"/>
      <x:c r="I15" s="4"/>
      <x:c r="J15" s="4"/>
    </x:row>
    <x:row r="16" ht="38" customHeight="1">
      <x:c r="A16" s="173" t="n">
        <x:v>2</x:v>
      </x:c>
      <x:c r="B16" s="194" t="str">
        <x:v>VALIDATE</x:v>
      </x:c>
      <x:c r="C16" s="143" t="str">
        <x:v>Flag Account References that are not stored as text.</x:v>
      </x:c>
      <x:c r="D16" s="143" t="str">
        <x:v>04_WORKSPACE_A</x:v>
      </x:c>
      <x:c r="E16" s="209" t="str">
        <x:v>Not Started</x:v>
      </x:c>
      <x:c r="F16" s="4"/>
      <x:c r="G16" s="4"/>
      <x:c r="H16" s="4"/>
      <x:c r="I16" s="4"/>
      <x:c r="J16" s="4"/>
    </x:row>
    <x:row r="17" ht="38" customHeight="1">
      <x:c r="A17" s="173" t="n">
        <x:v>3</x:v>
      </x:c>
      <x:c r="B17" s="194" t="str">
        <x:v>ENRICH</x:v>
      </x:c>
      <x:c r="C17" s="143" t="str">
        <x:v>Use XLOOKUP to return Plan, Account Manager, Account Status and Monthly Fee.</x:v>
      </x:c>
      <x:c r="D17" s="143" t="str">
        <x:v>04_WORKSPACE_A</x:v>
      </x:c>
      <x:c r="E17" s="209" t="str">
        <x:v>Not Started</x:v>
      </x:c>
      <x:c r="F17" s="4"/>
      <x:c r="G17" s="4"/>
      <x:c r="H17" s="4"/>
      <x:c r="I17" s="4"/>
      <x:c r="J17" s="4"/>
    </x:row>
    <x:row r="18" ht="38" customHeight="1">
      <x:c r="A18" s="173" t="n">
        <x:v>4</x:v>
      </x:c>
      <x:c r="B18" s="194" t="str">
        <x:v>PERFORMANCE</x:v>
      </x:c>
      <x:c r="C18" s="143" t="str">
        <x:v>Calculate Achievement % and classify performance with IFS.</x:v>
      </x:c>
      <x:c r="D18" s="143" t="str">
        <x:v>04_WORKSPACE_A</x:v>
      </x:c>
      <x:c r="E18" s="209" t="str">
        <x:v>Not Started</x:v>
      </x:c>
      <x:c r="F18" s="4"/>
      <x:c r="G18" s="4"/>
      <x:c r="H18" s="4"/>
      <x:c r="I18" s="4"/>
      <x:c r="J18" s="4"/>
    </x:row>
    <x:row r="19" ht="38" customHeight="1">
      <x:c r="A19" s="173" t="n">
        <x:v>5</x:v>
      </x:c>
      <x:c r="B19" s="194" t="str">
        <x:v>ESCALATION</x:v>
      </x:c>
      <x:c r="C19" s="143" t="str">
        <x:v>Build the Active AND (Tickets ≥ 8 OR Resolution &gt; SLA) rule.</x:v>
      </x:c>
      <x:c r="D19" s="143" t="str">
        <x:v>04_WORKSPACE_A</x:v>
      </x:c>
      <x:c r="E19" s="209" t="str">
        <x:v>Not Started</x:v>
      </x:c>
      <x:c r="F19" s="4"/>
      <x:c r="G19" s="4"/>
      <x:c r="H19" s="4"/>
      <x:c r="I19" s="4"/>
      <x:c r="J19" s="4"/>
    </x:row>
    <x:row r="20" ht="38" customHeight="1">
      <x:c r="A20" s="173" t="n">
        <x:v>6</x:v>
      </x:c>
      <x:c r="B20" s="194" t="str">
        <x:v>SAFE LOGIC</x:v>
      </x:c>
      <x:c r="C20" s="143" t="str">
        <x:v>Calculate Resolution / SLA safely using IFERROR.</x:v>
      </x:c>
      <x:c r="D20" s="143" t="str">
        <x:v>04_WORKSPACE_A</x:v>
      </x:c>
      <x:c r="E20" s="209" t="str">
        <x:v>Not Started</x:v>
      </x:c>
      <x:c r="F20" s="4"/>
      <x:c r="G20" s="4"/>
      <x:c r="H20" s="4"/>
      <x:c r="I20" s="4"/>
      <x:c r="J20" s="4"/>
    </x:row>
    <x:row r="21" ht="38" customHeight="1">
      <x:c r="A21" s="173" t="n">
        <x:v>7</x:v>
      </x:c>
      <x:c r="B21" s="194" t="str">
        <x:v>DATES</x:v>
      </x:c>
      <x:c r="C21" s="143" t="str">
        <x:v>Calculate Business Days and SLA Status.</x:v>
      </x:c>
      <x:c r="D21" s="143" t="str">
        <x:v>05_WORKSPACE_B</x:v>
      </x:c>
      <x:c r="E21" s="209" t="str">
        <x:v>Not Started</x:v>
      </x:c>
      <x:c r="F21" s="4"/>
      <x:c r="G21" s="4"/>
      <x:c r="H21" s="4"/>
      <x:c r="I21" s="4"/>
      <x:c r="J21" s="4"/>
    </x:row>
    <x:row r="22" ht="38" customHeight="1">
      <x:c r="A22" s="173" t="n">
        <x:v>8</x:v>
      </x:c>
      <x:c r="B22" s="194" t="str">
        <x:v>DYNAMIC LIST</x:v>
      </x:c>
      <x:c r="C22" s="143" t="str">
        <x:v>Build a SORT + UNIQUE list, then FILTER active Corporate customers.</x:v>
      </x:c>
      <x:c r="D22" s="143" t="str">
        <x:v>06_MANAGEMENT_CONSOLE</x:v>
      </x:c>
      <x:c r="E22" s="209" t="str">
        <x:v>Not Started</x:v>
      </x:c>
      <x:c r="F22" s="4"/>
      <x:c r="G22" s="4"/>
      <x:c r="H22" s="4"/>
      <x:c r="I22" s="4"/>
      <x:c r="J22" s="4"/>
    </x:row>
    <x:row r="23" ht="38" customHeight="1">
      <x:c r="A23" s="173" t="n">
        <x:v>9</x:v>
      </x:c>
      <x:c r="B23" s="194" t="str">
        <x:v>MANAGEMENT</x:v>
      </x:c>
      <x:c r="C23" s="143" t="str">
        <x:v>Answer SUMIFS / COUNTIFS / AVERAGEIFS questions from dynamic criteria.</x:v>
      </x:c>
      <x:c r="D23" s="143" t="str">
        <x:v>06_MANAGEMENT_CONSOLE</x:v>
      </x:c>
      <x:c r="E23" s="209" t="str">
        <x:v>Not Started</x:v>
      </x:c>
      <x:c r="F23" s="4"/>
      <x:c r="G23" s="4"/>
      <x:c r="H23" s="4"/>
      <x:c r="I23" s="4"/>
      <x:c r="J23" s="4"/>
    </x:row>
    <x:row r="24" ht="38" customHeight="1">
      <x:c r="A24" s="174" t="n">
        <x:v>10</x:v>
      </x:c>
      <x:c r="B24" s="195" t="str">
        <x:v>REFLECTION</x:v>
      </x:c>
      <x:c r="C24" s="146" t="str">
        <x:v>Choose one repeated step you would automate with Power Query tomorrow.</x:v>
      </x:c>
      <x:c r="D24" s="146" t="str">
        <x:v>06_MANAGEMENT_CONSOLE</x:v>
      </x:c>
      <x:c r="E24" s="210" t="str">
        <x:v>Not Started</x:v>
      </x:c>
      <x:c r="F24" s="4"/>
      <x:c r="G24" s="4"/>
      <x:c r="H24" s="4"/>
      <x:c r="I24" s="4"/>
      <x:c r="J24" s="4"/>
    </x:row>
    <x:row r="25" ht="21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21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21" customHeight="1">
      <x:c r="A27" s="215" t="str">
        <x:v>RULES  •  Logic first → Formula second  •  Use one formula when one formula can solve it  •  Do not overwrite source data</x:v>
      </x:c>
      <x:c r="B27" s="215"/>
      <x:c r="C27" s="215"/>
      <x:c r="D27" s="215"/>
      <x:c r="E27" s="215"/>
      <x:c r="F27" s="4"/>
      <x:c r="G27" s="4"/>
      <x:c r="H27" s="4"/>
      <x:c r="I27" s="4"/>
      <x:c r="J27" s="4"/>
    </x:row>
    <x:row r="28" ht="21" customHeight="1">
      <x:c r="A28" s="215"/>
      <x:c r="B28" s="215"/>
      <x:c r="C28" s="215"/>
      <x:c r="D28" s="215"/>
      <x:c r="E28" s="215"/>
      <x:c r="F28" s="4"/>
      <x:c r="G28" s="4"/>
      <x:c r="H28" s="4"/>
      <x:c r="I28" s="4"/>
      <x:c r="J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21" customHeight="1">
      <x:c r="A30" s="98" t="str">
        <x:v>قاعدة مهمة  •  إذا واجهت Error، افهم السبب قبل ما تخفيه. وإذا ظهر #SPILL! افحص مساحة الـspill قبل تغيير المعادلة.</x:v>
      </x:c>
      <x:c r="B30" s="98"/>
      <x:c r="C30" s="98"/>
      <x:c r="D30" s="98"/>
      <x:c r="E30" s="98"/>
      <x:c r="F30" s="4"/>
      <x:c r="G30" s="4"/>
      <x:c r="H30" s="4"/>
      <x:c r="I30" s="4"/>
      <x:c r="J30" s="4"/>
    </x:row>
    <x:row r="31" ht="21" customHeight="1">
      <x:c r="A31" s="98"/>
      <x:c r="B31" s="98"/>
      <x:c r="C31" s="98"/>
      <x:c r="D31" s="98"/>
      <x:c r="E31" s="98"/>
      <x:c r="F31" s="4"/>
      <x:c r="G31" s="4"/>
      <x:c r="H31" s="4"/>
      <x:c r="I31" s="4"/>
      <x:c r="J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</x:sheetData>
  <x:mergeCells>
    <x:mergeCell ref="A1:J2"/>
    <x:mergeCell ref="A3:J3"/>
    <x:mergeCell ref="A5:J6"/>
    <x:mergeCell ref="A7:J8"/>
    <x:mergeCell ref="A10:J11"/>
    <x:mergeCell ref="A27:E28"/>
    <x:mergeCell ref="A30:E31"/>
  </x:mergeCells>
  <x:dataValidations count="1">
    <x:dataValidation type="list" sqref="E15:E24">
      <x:formula1>"Not Started,In Progress,Done"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3" hidden="0" customWidth="1"/>
    <x:col min="5" max="5" width="18" hidden="0" customWidth="1"/>
    <x:col min="6" max="6" width="24" hidden="0" customWidth="1"/>
    <x:col min="7" max="7" width="21" hidden="0" customWidth="1"/>
    <x:col min="8" max="8" width="16" hidden="0" customWidth="1"/>
    <x:col min="9" max="9" width="16" hidden="0" customWidth="1"/>
  </x:cols>
  <x:sheetData>
    <x:row r="1" ht="21" customHeight="1">
      <x:c r="A1" s="220" t="str">
        <x:v>DATA HUB 01  •  CUSTOMER MASTER</x:v>
      </x:c>
      <x:c r="B1" s="220"/>
      <x:c r="C1" s="220"/>
      <x:c r="D1" s="220"/>
      <x:c r="E1" s="220"/>
      <x:c r="F1" s="220"/>
      <x:c r="G1" s="220"/>
      <x:c r="H1" s="220"/>
      <x:c r="I1" s="220"/>
    </x:row>
    <x:row r="2" ht="21" customHeight="1">
      <x:c r="A2" s="220"/>
      <x:c r="B2" s="220"/>
      <x:c r="C2" s="220"/>
      <x:c r="D2" s="220"/>
      <x:c r="E2" s="220"/>
      <x:c r="F2" s="220"/>
      <x:c r="G2" s="220"/>
      <x:c r="H2" s="220"/>
      <x:c r="I2" s="220"/>
    </x:row>
    <x:row r="3" ht="21" customHeight="1">
      <x:c r="A3" s="21" t="str">
        <x:v>مرجع العملاء • استخدمه للـXLOOKUP والأسئلة الإدارية</x:v>
      </x:c>
      <x:c r="B3" s="21"/>
      <x:c r="C3" s="21"/>
      <x:c r="D3" s="21"/>
      <x:c r="E3" s="21"/>
      <x:c r="F3" s="21"/>
      <x:c r="G3" s="21"/>
      <x:c r="H3" s="21"/>
      <x:c r="I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1" customHeight="1">
      <x:c r="A5" s="94" t="str">
        <x:v>YOUR MISSION  •  Use this table as a reference. Do not edit it.</x:v>
      </x:c>
      <x:c r="B5" s="90"/>
      <x:c r="C5" s="90"/>
      <x:c r="D5" s="90"/>
      <x:c r="E5" s="90"/>
      <x:c r="F5" s="90"/>
      <x:c r="G5" s="90"/>
      <x:c r="H5" s="90"/>
      <x:c r="I5" s="90"/>
    </x:row>
    <x:row r="6" ht="21" customHeight="1">
      <x:c r="A6" s="94"/>
      <x:c r="B6" s="90"/>
      <x:c r="C6" s="90"/>
      <x:c r="D6" s="90"/>
      <x:c r="E6" s="90"/>
      <x:c r="F6" s="90"/>
      <x:c r="G6" s="90"/>
      <x:c r="H6" s="90"/>
      <x:c r="I6" s="90"/>
    </x:row>
    <x:row r="7" ht="21" customHeight="1">
      <x:c r="A7" s="98" t="str">
        <x:v>المطلوب منك  •  استخدم هذا الجدول كمرجع فقط ولا تعدّل بياناته.</x:v>
      </x:c>
      <x:c r="B7" s="98"/>
      <x:c r="C7" s="98"/>
      <x:c r="D7" s="98"/>
      <x:c r="E7" s="98"/>
      <x:c r="F7" s="98"/>
      <x:c r="G7" s="98"/>
      <x:c r="H7" s="98"/>
      <x:c r="I7" s="102"/>
    </x:row>
    <x:row r="8" ht="21" customHeight="1">
      <x:c r="A8" s="98"/>
      <x:c r="B8" s="98"/>
      <x:c r="C8" s="98"/>
      <x:c r="D8" s="98"/>
      <x:c r="E8" s="98"/>
      <x:c r="F8" s="98"/>
      <x:c r="G8" s="98"/>
      <x:c r="H8" s="98"/>
      <x:c r="I8" s="102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ht="21" customHeight="1">
      <x:c r="A10" s="117" t="str">
        <x:v>Customer ID</x:v>
      </x:c>
      <x:c r="B10" s="118" t="str">
        <x:v>Customer Name</x:v>
      </x:c>
      <x:c r="C10" s="118" t="str">
        <x:v>Segment</x:v>
      </x:c>
      <x:c r="D10" s="118" t="str">
        <x:v>Region</x:v>
      </x:c>
      <x:c r="E10" s="118" t="str">
        <x:v>Service</x:v>
      </x:c>
      <x:c r="F10" s="118" t="str">
        <x:v>Plan</x:v>
      </x:c>
      <x:c r="G10" s="118" t="str">
        <x:v>Account Manager</x:v>
      </x:c>
      <x:c r="H10" s="118" t="str">
        <x:v>Account Status</x:v>
      </x:c>
      <x:c r="I10" s="119" t="str">
        <x:v>Monthly Fee</x:v>
      </x:c>
    </x:row>
    <x:row r="11" ht="21" customHeight="1">
      <x:c r="A11" s="139" t="str">
        <x:v>C41001</x:v>
      </x:c>
      <x:c r="B11" s="140" t="str">
        <x:v>Customer 01</x:v>
      </x:c>
      <x:c r="C11" s="140" t="str">
        <x:v>Consumer</x:v>
      </x:c>
      <x:c r="D11" s="140" t="str">
        <x:v>Amman</x:v>
      </x:c>
      <x:c r="E11" s="140" t="str">
        <x:v>5G Home</x:v>
      </x:c>
      <x:c r="F11" s="140" t="str">
        <x:v>5G Home 200</x:v>
      </x:c>
      <x:c r="G11" s="140" t="str">
        <x:v>Omar Nasser</x:v>
      </x:c>
      <x:c r="H11" s="140" t="str">
        <x:v>Active</x:v>
      </x:c>
      <x:c r="I11" s="224" t="n">
        <x:v>40</x:v>
      </x:c>
    </x:row>
    <x:row r="12" ht="21" customHeight="1">
      <x:c r="A12" s="142" t="str">
        <x:v>C41002</x:v>
      </x:c>
      <x:c r="B12" s="143" t="str">
        <x:v>Customer 02</x:v>
      </x:c>
      <x:c r="C12" s="143" t="str">
        <x:v>SME</x:v>
      </x:c>
      <x:c r="D12" s="143" t="str">
        <x:v>Amman</x:v>
      </x:c>
      <x:c r="E12" s="143" t="str">
        <x:v>5G Home</x:v>
      </x:c>
      <x:c r="F12" s="143" t="str">
        <x:v>5G Home Unlimited</x:v>
      </x:c>
      <x:c r="G12" s="143" t="str">
        <x:v>Tareq Hamdan</x:v>
      </x:c>
      <x:c r="H12" s="143" t="str">
        <x:v>Active</x:v>
      </x:c>
      <x:c r="I12" s="225" t="n">
        <x:v>50</x:v>
      </x:c>
    </x:row>
    <x:row r="13" ht="21" customHeight="1">
      <x:c r="A13" s="142" t="str">
        <x:v>C41003</x:v>
      </x:c>
      <x:c r="B13" s="143" t="str">
        <x:v>Customer 03</x:v>
      </x:c>
      <x:c r="C13" s="143" t="str">
        <x:v>SME</x:v>
      </x:c>
      <x:c r="D13" s="143" t="str">
        <x:v>Zarqa</x:v>
      </x:c>
      <x:c r="E13" s="143" t="str">
        <x:v>Fiber</x:v>
      </x:c>
      <x:c r="F13" s="143" t="str">
        <x:v>Fiber 1000</x:v>
      </x:c>
      <x:c r="G13" s="143" t="str">
        <x:v>Omar Nasser</x:v>
      </x:c>
      <x:c r="H13" s="143" t="str">
        <x:v>Active</x:v>
      </x:c>
      <x:c r="I13" s="225" t="n">
        <x:v>45</x:v>
      </x:c>
    </x:row>
    <x:row r="14" ht="21" customHeight="1">
      <x:c r="A14" s="142" t="str">
        <x:v>C41004</x:v>
      </x:c>
      <x:c r="B14" s="143" t="str">
        <x:v>Customer 04</x:v>
      </x:c>
      <x:c r="C14" s="143" t="str">
        <x:v>SME</x:v>
      </x:c>
      <x:c r="D14" s="143" t="str">
        <x:v>Irbid</x:v>
      </x:c>
      <x:c r="E14" s="143" t="str">
        <x:v>Fiber</x:v>
      </x:c>
      <x:c r="F14" s="143" t="str">
        <x:v>Fiber 300</x:v>
      </x:c>
      <x:c r="G14" s="143" t="str">
        <x:v>Tareq Hamdan</x:v>
      </x:c>
      <x:c r="H14" s="143" t="str">
        <x:v>Active</x:v>
      </x:c>
      <x:c r="I14" s="225" t="n">
        <x:v>45</x:v>
      </x:c>
    </x:row>
    <x:row r="15" ht="21" customHeight="1">
      <x:c r="A15" s="142" t="str">
        <x:v>C41005</x:v>
      </x:c>
      <x:c r="B15" s="143" t="str">
        <x:v>Customer 05</x:v>
      </x:c>
      <x:c r="C15" s="143" t="str">
        <x:v>Consumer</x:v>
      </x:c>
      <x:c r="D15" s="143" t="str">
        <x:v>Amman</x:v>
      </x:c>
      <x:c r="E15" s="143" t="str">
        <x:v>5G Home</x:v>
      </x:c>
      <x:c r="F15" s="143" t="str">
        <x:v>5G Home Unlimited</x:v>
      </x:c>
      <x:c r="G15" s="143" t="str">
        <x:v>Dana Saleh</x:v>
      </x:c>
      <x:c r="H15" s="143" t="str">
        <x:v>Active</x:v>
      </x:c>
      <x:c r="I15" s="225" t="n">
        <x:v>30</x:v>
      </x:c>
    </x:row>
    <x:row r="16" ht="21" customHeight="1">
      <x:c r="A16" s="142" t="str">
        <x:v>C41006</x:v>
      </x:c>
      <x:c r="B16" s="143" t="str">
        <x:v>Customer 06</x:v>
      </x:c>
      <x:c r="C16" s="143" t="str">
        <x:v>SME</x:v>
      </x:c>
      <x:c r="D16" s="143" t="str">
        <x:v>Aqaba</x:v>
      </x:c>
      <x:c r="E16" s="143" t="str">
        <x:v>Enterprise Data</x:v>
      </x:c>
      <x:c r="F16" s="143" t="str">
        <x:v>MPLS Core</x:v>
      </x:c>
      <x:c r="G16" s="143" t="str">
        <x:v>Tareq Hamdan</x:v>
      </x:c>
      <x:c r="H16" s="143" t="str">
        <x:v>Active</x:v>
      </x:c>
      <x:c r="I16" s="225" t="n">
        <x:v>120</x:v>
      </x:c>
    </x:row>
    <x:row r="17" ht="21" customHeight="1">
      <x:c r="A17" s="142" t="str">
        <x:v>C41007</x:v>
      </x:c>
      <x:c r="B17" s="143" t="str">
        <x:v>Customer 07</x:v>
      </x:c>
      <x:c r="C17" s="143" t="str">
        <x:v>Corporate</x:v>
      </x:c>
      <x:c r="D17" s="143" t="str">
        <x:v>Aqaba</x:v>
      </x:c>
      <x:c r="E17" s="143" t="str">
        <x:v>Mobile</x:v>
      </x:c>
      <x:c r="F17" s="143" t="str">
        <x:v>Business Mobile</x:v>
      </x:c>
      <x:c r="G17" s="143" t="str">
        <x:v>Omar Nasser</x:v>
      </x:c>
      <x:c r="H17" s="143" t="str">
        <x:v>Active</x:v>
      </x:c>
      <x:c r="I17" s="225" t="n">
        <x:v>35</x:v>
      </x:c>
    </x:row>
    <x:row r="18" ht="21" customHeight="1">
      <x:c r="A18" s="142" t="str">
        <x:v>C41008</x:v>
      </x:c>
      <x:c r="B18" s="143" t="str">
        <x:v>Customer 08</x:v>
      </x:c>
      <x:c r="C18" s="143" t="str">
        <x:v>Consumer</x:v>
      </x:c>
      <x:c r="D18" s="143" t="str">
        <x:v>Irbid</x:v>
      </x:c>
      <x:c r="E18" s="143" t="str">
        <x:v>Mobile</x:v>
      </x:c>
      <x:c r="F18" s="143" t="str">
        <x:v>Mobile Plus</x:v>
      </x:c>
      <x:c r="G18" s="143" t="str">
        <x:v>Yazan Khalil</x:v>
      </x:c>
      <x:c r="H18" s="143" t="str">
        <x:v>Active</x:v>
      </x:c>
      <x:c r="I18" s="225" t="n">
        <x:v>45</x:v>
      </x:c>
    </x:row>
    <x:row r="19" ht="21" customHeight="1">
      <x:c r="A19" s="142" t="str">
        <x:v>C41009</x:v>
      </x:c>
      <x:c r="B19" s="143" t="str">
        <x:v>Customer 09</x:v>
      </x:c>
      <x:c r="C19" s="143" t="str">
        <x:v>Consumer</x:v>
      </x:c>
      <x:c r="D19" s="143" t="str">
        <x:v>Irbid</x:v>
      </x:c>
      <x:c r="E19" s="143" t="str">
        <x:v>Fiber</x:v>
      </x:c>
      <x:c r="F19" s="143" t="str">
        <x:v>Fiber 600</x:v>
      </x:c>
      <x:c r="G19" s="143" t="str">
        <x:v>Omar Nasser</x:v>
      </x:c>
      <x:c r="H19" s="143" t="str">
        <x:v>Active</x:v>
      </x:c>
      <x:c r="I19" s="225" t="n">
        <x:v>55</x:v>
      </x:c>
    </x:row>
    <x:row r="20" ht="21" customHeight="1">
      <x:c r="A20" s="142" t="str">
        <x:v>C41010</x:v>
      </x:c>
      <x:c r="B20" s="143" t="str">
        <x:v>Customer 10</x:v>
      </x:c>
      <x:c r="C20" s="143" t="str">
        <x:v>Consumer</x:v>
      </x:c>
      <x:c r="D20" s="143" t="str">
        <x:v>Aqaba</x:v>
      </x:c>
      <x:c r="E20" s="143" t="str">
        <x:v>Mobile</x:v>
      </x:c>
      <x:c r="F20" s="143" t="str">
        <x:v>Mobile Max</x:v>
      </x:c>
      <x:c r="G20" s="143" t="str">
        <x:v>Rana Odeh</x:v>
      </x:c>
      <x:c r="H20" s="143" t="str">
        <x:v>Pending</x:v>
      </x:c>
      <x:c r="I20" s="225" t="n">
        <x:v>20</x:v>
      </x:c>
    </x:row>
    <x:row r="21" ht="21" customHeight="1">
      <x:c r="A21" s="142" t="str">
        <x:v>C41011</x:v>
      </x:c>
      <x:c r="B21" s="143" t="str">
        <x:v>Customer 11</x:v>
      </x:c>
      <x:c r="C21" s="143" t="str">
        <x:v>Consumer</x:v>
      </x:c>
      <x:c r="D21" s="143" t="str">
        <x:v>Aqaba</x:v>
      </x:c>
      <x:c r="E21" s="143" t="str">
        <x:v>Fiber</x:v>
      </x:c>
      <x:c r="F21" s="143" t="str">
        <x:v>Fiber 300</x:v>
      </x:c>
      <x:c r="G21" s="143" t="str">
        <x:v>Dana Saleh</x:v>
      </x:c>
      <x:c r="H21" s="143" t="str">
        <x:v>Active</x:v>
      </x:c>
      <x:c r="I21" s="225" t="n">
        <x:v>55</x:v>
      </x:c>
    </x:row>
    <x:row r="22" ht="21" customHeight="1">
      <x:c r="A22" s="142" t="str">
        <x:v>C41012</x:v>
      </x:c>
      <x:c r="B22" s="143" t="str">
        <x:v>Customer 12</x:v>
      </x:c>
      <x:c r="C22" s="143" t="str">
        <x:v>Consumer</x:v>
      </x:c>
      <x:c r="D22" s="143" t="str">
        <x:v>Amman</x:v>
      </x:c>
      <x:c r="E22" s="143" t="str">
        <x:v>Mobile</x:v>
      </x:c>
      <x:c r="F22" s="143" t="str">
        <x:v>Mobile Plus</x:v>
      </x:c>
      <x:c r="G22" s="143" t="str">
        <x:v>Omar Nasser</x:v>
      </x:c>
      <x:c r="H22" s="143" t="str">
        <x:v>Active</x:v>
      </x:c>
      <x:c r="I22" s="225" t="n">
        <x:v>35</x:v>
      </x:c>
    </x:row>
    <x:row r="23" ht="21" customHeight="1">
      <x:c r="A23" s="142" t="str">
        <x:v>C41013</x:v>
      </x:c>
      <x:c r="B23" s="143" t="str">
        <x:v>Customer 13</x:v>
      </x:c>
      <x:c r="C23" s="143" t="str">
        <x:v>SME</x:v>
      </x:c>
      <x:c r="D23" s="143" t="str">
        <x:v>Aqaba</x:v>
      </x:c>
      <x:c r="E23" s="143" t="str">
        <x:v>5G Home</x:v>
      </x:c>
      <x:c r="F23" s="143" t="str">
        <x:v>5G Home Unlimited</x:v>
      </x:c>
      <x:c r="G23" s="143" t="str">
        <x:v>Rana Odeh</x:v>
      </x:c>
      <x:c r="H23" s="143" t="str">
        <x:v>Active</x:v>
      </x:c>
      <x:c r="I23" s="225" t="n">
        <x:v>40</x:v>
      </x:c>
    </x:row>
    <x:row r="24" ht="21" customHeight="1">
      <x:c r="A24" s="142" t="str">
        <x:v>C41014</x:v>
      </x:c>
      <x:c r="B24" s="143" t="str">
        <x:v>Customer 14</x:v>
      </x:c>
      <x:c r="C24" s="143" t="str">
        <x:v>Consumer</x:v>
      </x:c>
      <x:c r="D24" s="143" t="str">
        <x:v>Irbid</x:v>
      </x:c>
      <x:c r="E24" s="143" t="str">
        <x:v>Enterprise Data</x:v>
      </x:c>
      <x:c r="F24" s="143" t="str">
        <x:v>SD-WAN</x:v>
      </x:c>
      <x:c r="G24" s="143" t="str">
        <x:v>Omar Nasser</x:v>
      </x:c>
      <x:c r="H24" s="143" t="str">
        <x:v>Suspended</x:v>
      </x:c>
      <x:c r="I24" s="225" t="n">
        <x:v>120</x:v>
      </x:c>
    </x:row>
    <x:row r="25" ht="21" customHeight="1">
      <x:c r="A25" s="142" t="str">
        <x:v>C41015</x:v>
      </x:c>
      <x:c r="B25" s="143" t="str">
        <x:v>Customer 15</x:v>
      </x:c>
      <x:c r="C25" s="143" t="str">
        <x:v>Consumer</x:v>
      </x:c>
      <x:c r="D25" s="143" t="str">
        <x:v>Amman</x:v>
      </x:c>
      <x:c r="E25" s="143" t="str">
        <x:v>Fiber</x:v>
      </x:c>
      <x:c r="F25" s="143" t="str">
        <x:v>Fiber 1000</x:v>
      </x:c>
      <x:c r="G25" s="143" t="str">
        <x:v>Omar Nasser</x:v>
      </x:c>
      <x:c r="H25" s="143" t="str">
        <x:v>Active</x:v>
      </x:c>
      <x:c r="I25" s="225" t="n">
        <x:v>25</x:v>
      </x:c>
    </x:row>
    <x:row r="26" ht="21" customHeight="1">
      <x:c r="A26" s="142" t="str">
        <x:v>C41016</x:v>
      </x:c>
      <x:c r="B26" s="143" t="str">
        <x:v>Customer 16</x:v>
      </x:c>
      <x:c r="C26" s="143" t="str">
        <x:v>Corporate</x:v>
      </x:c>
      <x:c r="D26" s="143" t="str">
        <x:v>Balqa</x:v>
      </x:c>
      <x:c r="E26" s="143" t="str">
        <x:v>Enterprise Data</x:v>
      </x:c>
      <x:c r="F26" s="143" t="str">
        <x:v>Dedicated Internet</x:v>
      </x:c>
      <x:c r="G26" s="143" t="str">
        <x:v>Lina Haddad</x:v>
      </x:c>
      <x:c r="H26" s="143" t="str">
        <x:v>Pending</x:v>
      </x:c>
      <x:c r="I26" s="225" t="n">
        <x:v>350</x:v>
      </x:c>
    </x:row>
    <x:row r="27" ht="21" customHeight="1">
      <x:c r="A27" s="142" t="str">
        <x:v>C41017</x:v>
      </x:c>
      <x:c r="B27" s="143" t="str">
        <x:v>Customer 17</x:v>
      </x:c>
      <x:c r="C27" s="143" t="str">
        <x:v>Consumer</x:v>
      </x:c>
      <x:c r="D27" s="143" t="str">
        <x:v>Zarqa</x:v>
      </x:c>
      <x:c r="E27" s="143" t="str">
        <x:v>Mobile</x:v>
      </x:c>
      <x:c r="F27" s="143" t="str">
        <x:v>Mobile Max</x:v>
      </x:c>
      <x:c r="G27" s="143" t="str">
        <x:v>Omar Nasser</x:v>
      </x:c>
      <x:c r="H27" s="143" t="str">
        <x:v>Active</x:v>
      </x:c>
      <x:c r="I27" s="225" t="n">
        <x:v>60</x:v>
      </x:c>
    </x:row>
    <x:row r="28" ht="21" customHeight="1">
      <x:c r="A28" s="142" t="str">
        <x:v>C41018</x:v>
      </x:c>
      <x:c r="B28" s="143" t="str">
        <x:v>Customer 18</x:v>
      </x:c>
      <x:c r="C28" s="143" t="str">
        <x:v>Consumer</x:v>
      </x:c>
      <x:c r="D28" s="143" t="str">
        <x:v>Aqaba</x:v>
      </x:c>
      <x:c r="E28" s="143" t="str">
        <x:v>Enterprise Data</x:v>
      </x:c>
      <x:c r="F28" s="143" t="str">
        <x:v>MPLS Core</x:v>
      </x:c>
      <x:c r="G28" s="143" t="str">
        <x:v>Lina Haddad</x:v>
      </x:c>
      <x:c r="H28" s="143" t="str">
        <x:v>Active</x:v>
      </x:c>
      <x:c r="I28" s="225" t="n">
        <x:v>220</x:v>
      </x:c>
    </x:row>
    <x:row r="29" ht="21" customHeight="1">
      <x:c r="A29" s="142" t="str">
        <x:v>C41019</x:v>
      </x:c>
      <x:c r="B29" s="143" t="str">
        <x:v>Customer 19</x:v>
      </x:c>
      <x:c r="C29" s="143" t="str">
        <x:v>Consumer</x:v>
      </x:c>
      <x:c r="D29" s="143" t="str">
        <x:v>Balqa</x:v>
      </x:c>
      <x:c r="E29" s="143" t="str">
        <x:v>5G Home</x:v>
      </x:c>
      <x:c r="F29" s="143" t="str">
        <x:v>5G Home 200</x:v>
      </x:c>
      <x:c r="G29" s="143" t="str">
        <x:v>Tareq Hamdan</x:v>
      </x:c>
      <x:c r="H29" s="143" t="str">
        <x:v>Active</x:v>
      </x:c>
      <x:c r="I29" s="225" t="n">
        <x:v>65</x:v>
      </x:c>
    </x:row>
    <x:row r="30" ht="21" customHeight="1">
      <x:c r="A30" s="142" t="str">
        <x:v>C41020</x:v>
      </x:c>
      <x:c r="B30" s="143" t="str">
        <x:v>Customer 20</x:v>
      </x:c>
      <x:c r="C30" s="143" t="str">
        <x:v>Consumer</x:v>
      </x:c>
      <x:c r="D30" s="143" t="str">
        <x:v>Amman</x:v>
      </x:c>
      <x:c r="E30" s="143" t="str">
        <x:v>5G Home</x:v>
      </x:c>
      <x:c r="F30" s="143" t="str">
        <x:v>5G Home Unlimited</x:v>
      </x:c>
      <x:c r="G30" s="143" t="str">
        <x:v>Tareq Hamdan</x:v>
      </x:c>
      <x:c r="H30" s="143" t="str">
        <x:v>Active</x:v>
      </x:c>
      <x:c r="I30" s="225" t="n">
        <x:v>65</x:v>
      </x:c>
    </x:row>
    <x:row r="31" ht="21" customHeight="1">
      <x:c r="A31" s="142" t="str">
        <x:v>C41021</x:v>
      </x:c>
      <x:c r="B31" s="143" t="str">
        <x:v>Customer 21</x:v>
      </x:c>
      <x:c r="C31" s="143" t="str">
        <x:v>Corporate</x:v>
      </x:c>
      <x:c r="D31" s="143" t="str">
        <x:v>Aqaba</x:v>
      </x:c>
      <x:c r="E31" s="143" t="str">
        <x:v>Fiber</x:v>
      </x:c>
      <x:c r="F31" s="143" t="str">
        <x:v>Fiber 300</x:v>
      </x:c>
      <x:c r="G31" s="143" t="str">
        <x:v>Rana Odeh</x:v>
      </x:c>
      <x:c r="H31" s="143" t="str">
        <x:v>Pending</x:v>
      </x:c>
      <x:c r="I31" s="225" t="n">
        <x:v>25</x:v>
      </x:c>
    </x:row>
    <x:row r="32" ht="21" customHeight="1">
      <x:c r="A32" s="142" t="str">
        <x:v>C41022</x:v>
      </x:c>
      <x:c r="B32" s="143" t="str">
        <x:v>Customer 22</x:v>
      </x:c>
      <x:c r="C32" s="143" t="str">
        <x:v>SME</x:v>
      </x:c>
      <x:c r="D32" s="143" t="str">
        <x:v>Irbid</x:v>
      </x:c>
      <x:c r="E32" s="143" t="str">
        <x:v>Enterprise Data</x:v>
      </x:c>
      <x:c r="F32" s="143" t="str">
        <x:v>MPLS Core</x:v>
      </x:c>
      <x:c r="G32" s="143" t="str">
        <x:v>Yazan Khalil</x:v>
      </x:c>
      <x:c r="H32" s="143" t="str">
        <x:v>Active</x:v>
      </x:c>
      <x:c r="I32" s="225" t="n">
        <x:v>120</x:v>
      </x:c>
    </x:row>
    <x:row r="33" ht="21" customHeight="1">
      <x:c r="A33" s="142" t="str">
        <x:v>C41023</x:v>
      </x:c>
      <x:c r="B33" s="143" t="str">
        <x:v>Customer 23</x:v>
      </x:c>
      <x:c r="C33" s="143" t="str">
        <x:v>Consumer</x:v>
      </x:c>
      <x:c r="D33" s="143" t="str">
        <x:v>Amman</x:v>
      </x:c>
      <x:c r="E33" s="143" t="str">
        <x:v>Mobile</x:v>
      </x:c>
      <x:c r="F33" s="143" t="str">
        <x:v>Mobile Max</x:v>
      </x:c>
      <x:c r="G33" s="143" t="str">
        <x:v>Tareq Hamdan</x:v>
      </x:c>
      <x:c r="H33" s="143" t="str">
        <x:v>Active</x:v>
      </x:c>
      <x:c r="I33" s="225" t="n">
        <x:v>35</x:v>
      </x:c>
    </x:row>
    <x:row r="34" ht="21" customHeight="1">
      <x:c r="A34" s="142" t="str">
        <x:v>C41024</x:v>
      </x:c>
      <x:c r="B34" s="143" t="str">
        <x:v>Customer 24</x:v>
      </x:c>
      <x:c r="C34" s="143" t="str">
        <x:v>SME</x:v>
      </x:c>
      <x:c r="D34" s="143" t="str">
        <x:v>Aqaba</x:v>
      </x:c>
      <x:c r="E34" s="143" t="str">
        <x:v>Mobile</x:v>
      </x:c>
      <x:c r="F34" s="143" t="str">
        <x:v>Mobile Max</x:v>
      </x:c>
      <x:c r="G34" s="143" t="str">
        <x:v>Yazan Khalil</x:v>
      </x:c>
      <x:c r="H34" s="143" t="str">
        <x:v>Suspended</x:v>
      </x:c>
      <x:c r="I34" s="225" t="n">
        <x:v>35</x:v>
      </x:c>
    </x:row>
    <x:row r="35" ht="21" customHeight="1">
      <x:c r="A35" s="142" t="str">
        <x:v>C41025</x:v>
      </x:c>
      <x:c r="B35" s="143" t="str">
        <x:v>Customer 25</x:v>
      </x:c>
      <x:c r="C35" s="143" t="str">
        <x:v>Consumer</x:v>
      </x:c>
      <x:c r="D35" s="143" t="str">
        <x:v>Zarqa</x:v>
      </x:c>
      <x:c r="E35" s="143" t="str">
        <x:v>Enterprise Data</x:v>
      </x:c>
      <x:c r="F35" s="143" t="str">
        <x:v>SD-WAN</x:v>
      </x:c>
      <x:c r="G35" s="143" t="str">
        <x:v>Yazan Khalil</x:v>
      </x:c>
      <x:c r="H35" s="143" t="str">
        <x:v>Active</x:v>
      </x:c>
      <x:c r="I35" s="225" t="n">
        <x:v>280</x:v>
      </x:c>
    </x:row>
    <x:row r="36" ht="21" customHeight="1">
      <x:c r="A36" s="142" t="str">
        <x:v>C41026</x:v>
      </x:c>
      <x:c r="B36" s="143" t="str">
        <x:v>Customer 26</x:v>
      </x:c>
      <x:c r="C36" s="143" t="str">
        <x:v>Consumer</x:v>
      </x:c>
      <x:c r="D36" s="143" t="str">
        <x:v>Aqaba</x:v>
      </x:c>
      <x:c r="E36" s="143" t="str">
        <x:v>5G Home</x:v>
      </x:c>
      <x:c r="F36" s="143" t="str">
        <x:v>5G Home 200</x:v>
      </x:c>
      <x:c r="G36" s="143" t="str">
        <x:v>Omar Nasser</x:v>
      </x:c>
      <x:c r="H36" s="143" t="str">
        <x:v>Suspended</x:v>
      </x:c>
      <x:c r="I36" s="225" t="n">
        <x:v>30</x:v>
      </x:c>
    </x:row>
    <x:row r="37" ht="21" customHeight="1">
      <x:c r="A37" s="142" t="str">
        <x:v>C41027</x:v>
      </x:c>
      <x:c r="B37" s="143" t="str">
        <x:v>Customer 27</x:v>
      </x:c>
      <x:c r="C37" s="143" t="str">
        <x:v>Consumer</x:v>
      </x:c>
      <x:c r="D37" s="143" t="str">
        <x:v>Aqaba</x:v>
      </x:c>
      <x:c r="E37" s="143" t="str">
        <x:v>5G Home</x:v>
      </x:c>
      <x:c r="F37" s="143" t="str">
        <x:v>5G Home Unlimited</x:v>
      </x:c>
      <x:c r="G37" s="143" t="str">
        <x:v>Lina Haddad</x:v>
      </x:c>
      <x:c r="H37" s="143" t="str">
        <x:v>Pending</x:v>
      </x:c>
      <x:c r="I37" s="225" t="n">
        <x:v>30</x:v>
      </x:c>
    </x:row>
    <x:row r="38" ht="21" customHeight="1">
      <x:c r="A38" s="142" t="str">
        <x:v>C41028</x:v>
      </x:c>
      <x:c r="B38" s="143" t="str">
        <x:v>Customer 28</x:v>
      </x:c>
      <x:c r="C38" s="143" t="str">
        <x:v>Consumer</x:v>
      </x:c>
      <x:c r="D38" s="143" t="str">
        <x:v>Zarqa</x:v>
      </x:c>
      <x:c r="E38" s="143" t="str">
        <x:v>5G Home</x:v>
      </x:c>
      <x:c r="F38" s="143" t="str">
        <x:v>5G Home Unlimited</x:v>
      </x:c>
      <x:c r="G38" s="143" t="str">
        <x:v>Tareq Hamdan</x:v>
      </x:c>
      <x:c r="H38" s="143" t="str">
        <x:v>Active</x:v>
      </x:c>
      <x:c r="I38" s="225" t="n">
        <x:v>30</x:v>
      </x:c>
    </x:row>
    <x:row r="39" ht="21" customHeight="1">
      <x:c r="A39" s="142" t="str">
        <x:v>C41029</x:v>
      </x:c>
      <x:c r="B39" s="143" t="str">
        <x:v>Customer 29</x:v>
      </x:c>
      <x:c r="C39" s="143" t="str">
        <x:v>Consumer</x:v>
      </x:c>
      <x:c r="D39" s="143" t="str">
        <x:v>Balqa</x:v>
      </x:c>
      <x:c r="E39" s="143" t="str">
        <x:v>Fiber</x:v>
      </x:c>
      <x:c r="F39" s="143" t="str">
        <x:v>Fiber 300</x:v>
      </x:c>
      <x:c r="G39" s="143" t="str">
        <x:v>Yazan Khalil</x:v>
      </x:c>
      <x:c r="H39" s="143" t="str">
        <x:v>Suspended</x:v>
      </x:c>
      <x:c r="I39" s="225" t="n">
        <x:v>25</x:v>
      </x:c>
    </x:row>
    <x:row r="40" ht="21" customHeight="1">
      <x:c r="A40" s="142" t="str">
        <x:v>C41030</x:v>
      </x:c>
      <x:c r="B40" s="143" t="str">
        <x:v>Customer 30</x:v>
      </x:c>
      <x:c r="C40" s="143" t="str">
        <x:v>Consumer</x:v>
      </x:c>
      <x:c r="D40" s="143" t="str">
        <x:v>Amman</x:v>
      </x:c>
      <x:c r="E40" s="143" t="str">
        <x:v>5G Home</x:v>
      </x:c>
      <x:c r="F40" s="143" t="str">
        <x:v>5G Home Unlimited</x:v>
      </x:c>
      <x:c r="G40" s="143" t="str">
        <x:v>Yazan Khalil</x:v>
      </x:c>
      <x:c r="H40" s="143" t="str">
        <x:v>Active</x:v>
      </x:c>
      <x:c r="I40" s="225" t="n">
        <x:v>30</x:v>
      </x:c>
    </x:row>
    <x:row r="41" ht="21" customHeight="1">
      <x:c r="A41" s="142" t="str">
        <x:v>C41031</x:v>
      </x:c>
      <x:c r="B41" s="143" t="str">
        <x:v>Customer 31</x:v>
      </x:c>
      <x:c r="C41" s="143" t="str">
        <x:v>Consumer</x:v>
      </x:c>
      <x:c r="D41" s="143" t="str">
        <x:v>Amman</x:v>
      </x:c>
      <x:c r="E41" s="143" t="str">
        <x:v>Mobile</x:v>
      </x:c>
      <x:c r="F41" s="143" t="str">
        <x:v>Mobile Plus</x:v>
      </x:c>
      <x:c r="G41" s="143" t="str">
        <x:v>Dana Saleh</x:v>
      </x:c>
      <x:c r="H41" s="143" t="str">
        <x:v>Pending</x:v>
      </x:c>
      <x:c r="I41" s="225" t="n">
        <x:v>25</x:v>
      </x:c>
    </x:row>
    <x:row r="42" ht="21" customHeight="1">
      <x:c r="A42" s="142" t="str">
        <x:v>C41032</x:v>
      </x:c>
      <x:c r="B42" s="143" t="str">
        <x:v>Customer 32</x:v>
      </x:c>
      <x:c r="C42" s="143" t="str">
        <x:v>Consumer</x:v>
      </x:c>
      <x:c r="D42" s="143" t="str">
        <x:v>Amman</x:v>
      </x:c>
      <x:c r="E42" s="143" t="str">
        <x:v>Mobile</x:v>
      </x:c>
      <x:c r="F42" s="143" t="str">
        <x:v>Mobile Max</x:v>
      </x:c>
      <x:c r="G42" s="143" t="str">
        <x:v>Omar Nasser</x:v>
      </x:c>
      <x:c r="H42" s="143" t="str">
        <x:v>Active</x:v>
      </x:c>
      <x:c r="I42" s="225" t="n">
        <x:v>60</x:v>
      </x:c>
    </x:row>
    <x:row r="43" ht="21" customHeight="1">
      <x:c r="A43" s="142" t="str">
        <x:v>C41033</x:v>
      </x:c>
      <x:c r="B43" s="143" t="str">
        <x:v>Customer 33</x:v>
      </x:c>
      <x:c r="C43" s="143" t="str">
        <x:v>Corporate</x:v>
      </x:c>
      <x:c r="D43" s="143" t="str">
        <x:v>Balqa</x:v>
      </x:c>
      <x:c r="E43" s="143" t="str">
        <x:v>5G Home</x:v>
      </x:c>
      <x:c r="F43" s="143" t="str">
        <x:v>5G Home Unlimited</x:v>
      </x:c>
      <x:c r="G43" s="143" t="str">
        <x:v>Tareq Hamdan</x:v>
      </x:c>
      <x:c r="H43" s="143" t="str">
        <x:v>Active</x:v>
      </x:c>
      <x:c r="I43" s="225" t="n">
        <x:v>65</x:v>
      </x:c>
    </x:row>
    <x:row r="44" ht="21" customHeight="1">
      <x:c r="A44" s="142" t="str">
        <x:v>C41034</x:v>
      </x:c>
      <x:c r="B44" s="143" t="str">
        <x:v>Customer 34</x:v>
      </x:c>
      <x:c r="C44" s="143" t="str">
        <x:v>Consumer</x:v>
      </x:c>
      <x:c r="D44" s="143" t="str">
        <x:v>Zarqa</x:v>
      </x:c>
      <x:c r="E44" s="143" t="str">
        <x:v>Fiber</x:v>
      </x:c>
      <x:c r="F44" s="143" t="str">
        <x:v>Fiber 1000</x:v>
      </x:c>
      <x:c r="G44" s="143" t="str">
        <x:v>Lina Haddad</x:v>
      </x:c>
      <x:c r="H44" s="143" t="str">
        <x:v>Active</x:v>
      </x:c>
      <x:c r="I44" s="225" t="n">
        <x:v>25</x:v>
      </x:c>
    </x:row>
    <x:row r="45" ht="21" customHeight="1">
      <x:c r="A45" s="142" t="str">
        <x:v>C41035</x:v>
      </x:c>
      <x:c r="B45" s="143" t="str">
        <x:v>Customer 35</x:v>
      </x:c>
      <x:c r="C45" s="143" t="str">
        <x:v>SME</x:v>
      </x:c>
      <x:c r="D45" s="143" t="str">
        <x:v>Balqa</x:v>
      </x:c>
      <x:c r="E45" s="143" t="str">
        <x:v>5G Home</x:v>
      </x:c>
      <x:c r="F45" s="143" t="str">
        <x:v>5G Home Unlimited</x:v>
      </x:c>
      <x:c r="G45" s="143" t="str">
        <x:v>Rana Odeh</x:v>
      </x:c>
      <x:c r="H45" s="143" t="str">
        <x:v>Active</x:v>
      </x:c>
      <x:c r="I45" s="225" t="n">
        <x:v>50</x:v>
      </x:c>
    </x:row>
    <x:row r="46" ht="21" customHeight="1">
      <x:c r="A46" s="142" t="str">
        <x:v>C41036</x:v>
      </x:c>
      <x:c r="B46" s="143" t="str">
        <x:v>Customer 36</x:v>
      </x:c>
      <x:c r="C46" s="143" t="str">
        <x:v>Corporate</x:v>
      </x:c>
      <x:c r="D46" s="143" t="str">
        <x:v>Zarqa</x:v>
      </x:c>
      <x:c r="E46" s="143" t="str">
        <x:v>Mobile</x:v>
      </x:c>
      <x:c r="F46" s="143" t="str">
        <x:v>Mobile Plus</x:v>
      </x:c>
      <x:c r="G46" s="143" t="str">
        <x:v>Dana Saleh</x:v>
      </x:c>
      <x:c r="H46" s="143" t="str">
        <x:v>Active</x:v>
      </x:c>
      <x:c r="I46" s="225" t="n">
        <x:v>35</x:v>
      </x:c>
    </x:row>
    <x:row r="47" ht="21" customHeight="1">
      <x:c r="A47" s="142" t="str">
        <x:v>C41037</x:v>
      </x:c>
      <x:c r="B47" s="143" t="str">
        <x:v>Customer 37</x:v>
      </x:c>
      <x:c r="C47" s="143" t="str">
        <x:v>Corporate</x:v>
      </x:c>
      <x:c r="D47" s="143" t="str">
        <x:v>Balqa</x:v>
      </x:c>
      <x:c r="E47" s="143" t="str">
        <x:v>Enterprise Data</x:v>
      </x:c>
      <x:c r="F47" s="143" t="str">
        <x:v>MPLS Core</x:v>
      </x:c>
      <x:c r="G47" s="143" t="str">
        <x:v>Rana Odeh</x:v>
      </x:c>
      <x:c r="H47" s="143" t="str">
        <x:v>Active</x:v>
      </x:c>
      <x:c r="I47" s="225" t="n">
        <x:v>280</x:v>
      </x:c>
    </x:row>
    <x:row r="48" ht="21" customHeight="1">
      <x:c r="A48" s="142" t="str">
        <x:v>C41038</x:v>
      </x:c>
      <x:c r="B48" s="143" t="str">
        <x:v>Customer 38</x:v>
      </x:c>
      <x:c r="C48" s="143" t="str">
        <x:v>Consumer</x:v>
      </x:c>
      <x:c r="D48" s="143" t="str">
        <x:v>Aqaba</x:v>
      </x:c>
      <x:c r="E48" s="143" t="str">
        <x:v>Mobile</x:v>
      </x:c>
      <x:c r="F48" s="143" t="str">
        <x:v>Mobile Plus</x:v>
      </x:c>
      <x:c r="G48" s="143" t="str">
        <x:v>Rana Odeh</x:v>
      </x:c>
      <x:c r="H48" s="143" t="str">
        <x:v>Active</x:v>
      </x:c>
      <x:c r="I48" s="225" t="n">
        <x:v>35</x:v>
      </x:c>
    </x:row>
    <x:row r="49" ht="21" customHeight="1">
      <x:c r="A49" s="142" t="str">
        <x:v>C41039</x:v>
      </x:c>
      <x:c r="B49" s="143" t="str">
        <x:v>Customer 39</x:v>
      </x:c>
      <x:c r="C49" s="143" t="str">
        <x:v>Consumer</x:v>
      </x:c>
      <x:c r="D49" s="143" t="str">
        <x:v>Amman</x:v>
      </x:c>
      <x:c r="E49" s="143" t="str">
        <x:v>Enterprise Data</x:v>
      </x:c>
      <x:c r="F49" s="143" t="str">
        <x:v>MPLS Core</x:v>
      </x:c>
      <x:c r="G49" s="143" t="str">
        <x:v>Dana Saleh</x:v>
      </x:c>
      <x:c r="H49" s="143" t="str">
        <x:v>Active</x:v>
      </x:c>
      <x:c r="I49" s="225" t="n">
        <x:v>280</x:v>
      </x:c>
    </x:row>
    <x:row r="50" ht="21" customHeight="1">
      <x:c r="A50" s="145" t="str">
        <x:v>C41040</x:v>
      </x:c>
      <x:c r="B50" s="146" t="str">
        <x:v>Customer 40</x:v>
      </x:c>
      <x:c r="C50" s="146" t="str">
        <x:v>Consumer</x:v>
      </x:c>
      <x:c r="D50" s="146" t="str">
        <x:v>Amman</x:v>
      </x:c>
      <x:c r="E50" s="146" t="str">
        <x:v>Enterprise Data</x:v>
      </x:c>
      <x:c r="F50" s="146" t="str">
        <x:v>MPLS Core</x:v>
      </x:c>
      <x:c r="G50" s="146" t="str">
        <x:v>Lina Haddad</x:v>
      </x:c>
      <x:c r="H50" s="146" t="str">
        <x:v>Active</x:v>
      </x:c>
      <x:c r="I50" s="226" t="n">
        <x:v>220</x:v>
      </x:c>
    </x:row>
    <x:row r="51" ht="21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ht="21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ht="21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ht="21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ht="21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ht="21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ht="21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ht="21" customHeight="1">
      <x:c r="A58" s="4"/>
      <x:c r="B58" s="4"/>
      <x:c r="C58" s="4"/>
      <x:c r="D58" s="4"/>
      <x:c r="E58" s="4"/>
      <x:c r="F58" s="4"/>
      <x:c r="G58" s="4"/>
      <x:c r="H58" s="4"/>
      <x:c r="I58" s="4"/>
    </x:row>
  </x:sheetData>
  <x:mergeCells>
    <x:mergeCell ref="A1:I2"/>
    <x:mergeCell ref="A3:I3"/>
    <x:mergeCell ref="A5:I6"/>
    <x:mergeCell ref="A7:I8"/>
  </x:mergeCells>
  <x:dataValidations count="9">
    <x:dataValidation allowBlank="1" showInputMessage="1" promptTitle="Customer ID" prompt="Unique customer identifier.&#10;رقم مميز للعميل." sqref="A10"/>
    <x:dataValidation allowBlank="1" showInputMessage="1" promptTitle="Customer Name" prompt="Customer display name.&#10;اسم العميل." sqref="B10"/>
    <x:dataValidation allowBlank="1" showInputMessage="1" promptTitle="Segment" prompt="Consumer / SME / Corporate.&#10;فئة العميل." sqref="C10"/>
    <x:dataValidation allowBlank="1" showInputMessage="1" promptTitle="Region" prompt="Customer home region.&#10;منطقة العميل." sqref="D10"/>
    <x:dataValidation allowBlank="1" showInputMessage="1" promptTitle="Service" prompt="Primary service family.&#10;الخدمة الرئيسية." sqref="E10"/>
    <x:dataValidation allowBlank="1" showInputMessage="1" promptTitle="Plan" prompt="Commercial plan.&#10;الباقة." sqref="F10"/>
    <x:dataValidation allowBlank="1" showInputMessage="1" promptTitle="Account Manager" prompt="Assigned owner.&#10;مسؤول الحساب." sqref="G10"/>
    <x:dataValidation allowBlank="1" showInputMessage="1" promptTitle="Account Status" prompt="Active / Suspended / Pending.&#10;حالة الحساب." sqref="H10"/>
    <x:dataValidation allowBlank="1" showInputMessage="1" promptTitle="Monthly Fee" prompt="Recurring monthly fee in JOD.&#10;الرسوم الشهرية بالدينار." sqref="I10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3" hidden="0" customWidth="1"/>
    <x:col min="10" max="10" width="11" hidden="0" customWidth="1"/>
    <x:col min="11" max="11" width="10" hidden="0" customWidth="1"/>
    <x:col min="12" max="12" width="11" hidden="0" customWidth="1"/>
    <x:col min="13" max="13" width="16" hidden="0" customWidth="1"/>
  </x:cols>
  <x:sheetData>
    <x:row r="1" ht="21" customHeight="1">
      <x:c r="A1" s="220" t="str">
        <x:v>DATA HUB 02  •  RAW SERVICE ORDER FEED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</x:row>
    <x:row r="2" ht="21" customHeight="1">
      <x:c r="A2" s="220"/>
      <x:c r="B2" s="220"/>
      <x:c r="C2" s="220"/>
      <x:c r="D2" s="220"/>
      <x:c r="E2" s="220"/>
      <x:c r="F2" s="220"/>
      <x:c r="G2" s="220"/>
      <x:c r="H2" s="220"/>
      <x:c r="I2" s="220"/>
      <x:c r="J2" s="220"/>
      <x:c r="K2" s="220"/>
      <x:c r="L2" s="220"/>
      <x:c r="M2" s="220"/>
    </x:row>
    <x:row r="3" ht="21" customHeight="1">
      <x:c r="A3" s="21" t="str">
        <x:v>بيانات تشغيلية خام • فيها Composite Key ومشاكل نوع بيانات مقصودة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1" customHeight="1">
      <x:c r="A5" s="94" t="str">
        <x:v>YOUR MISSION  •  Use this feed as source data. Do not manually split, retype or correct it.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</x:row>
    <x:row r="6" ht="21" customHeight="1">
      <x:c r="A6" s="94"/>
      <x:c r="B6" s="90"/>
      <x:c r="C6" s="90"/>
      <x:c r="D6" s="90"/>
      <x:c r="E6" s="90"/>
      <x:c r="F6" s="90"/>
      <x:c r="G6" s="90"/>
      <x:c r="H6" s="90"/>
      <x:c r="I6" s="90"/>
      <x:c r="J6" s="90"/>
      <x:c r="K6" s="90"/>
      <x:c r="L6" s="90"/>
      <x:c r="M6" s="90"/>
    </x:row>
    <x:row r="7" ht="21" customHeight="1">
      <x:c r="A7" s="98" t="str">
        <x:v>المطلوب منك  •  استخدم هذا الملف كمصدر. لا تقسّم أو تعيد كتابة أو تصلّح القيم يدوياً.</x:v>
      </x:c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102"/>
    </x:row>
    <x:row r="8" ht="21" customHeight="1">
      <x:c r="A8" s="98"/>
      <x:c r="B8" s="98"/>
      <x:c r="C8" s="98"/>
      <x:c r="D8" s="98"/>
      <x:c r="E8" s="98"/>
      <x:c r="F8" s="98"/>
      <x:c r="G8" s="98"/>
      <x:c r="H8" s="98"/>
      <x:c r="I8" s="98"/>
      <x:c r="J8" s="98"/>
      <x:c r="K8" s="98"/>
      <x:c r="L8" s="98"/>
      <x:c r="M8" s="102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ht="21" customHeight="1">
      <x:c r="A10" s="117" t="str">
        <x:v>Order ID</x:v>
      </x:c>
      <x:c r="B10" s="118" t="str">
        <x:v>Composite Key</x:v>
      </x:c>
      <x:c r="C10" s="118" t="str">
        <x:v>Account Reference</x:v>
      </x:c>
      <x:c r="D10" s="118" t="str">
        <x:v>Start Date</x:v>
      </x:c>
      <x:c r="E10" s="118" t="str">
        <x:v>Due Date</x:v>
      </x:c>
      <x:c r="F10" s="118" t="str">
        <x:v>Close Date</x:v>
      </x:c>
      <x:c r="G10" s="118" t="str">
        <x:v>Priority</x:v>
      </x:c>
      <x:c r="H10" s="118" t="str">
        <x:v>Revenue</x:v>
      </x:c>
      <x:c r="I10" s="118" t="str">
        <x:v>Target</x:v>
      </x:c>
      <x:c r="J10" s="118" t="str">
        <x:v>CSAT</x:v>
      </x:c>
      <x:c r="K10" s="118" t="str">
        <x:v>Tickets</x:v>
      </x:c>
      <x:c r="L10" s="118" t="str">
        <x:v>SLA Hours</x:v>
      </x:c>
      <x:c r="M10" s="119" t="str">
        <x:v>Resolution Hours</x:v>
      </x:c>
    </x:row>
    <x:row r="11" ht="21" customHeight="1">
      <x:c r="A11" s="139" t="str">
        <x:v>ORD-0001</x:v>
      </x:c>
      <x:c r="B11" s="140" t="str">
        <x:v>Aqaba|5G Home|C41027|ACT</x:v>
      </x:c>
      <x:c r="C11" s="140" t="str">
        <x:v>ACC-95125</x:v>
      </x:c>
      <x:c r="D11" s="230" t="n">
        <x:v>46063</x:v>
      </x:c>
      <x:c r="E11" s="230" t="n">
        <x:v>46069</x:v>
      </x:c>
      <x:c r="F11" s="230" t="n">
        <x:v>46072</x:v>
      </x:c>
      <x:c r="G11" s="140" t="str">
        <x:v>Medium</x:v>
      </x:c>
      <x:c r="H11" s="236" t="n">
        <x:v>1293.67</x:v>
      </x:c>
      <x:c r="I11" s="236" t="n">
        <x:v>1500</x:v>
      </x:c>
      <x:c r="J11" s="242" t="n">
        <x:v>70</x:v>
      </x:c>
      <x:c r="K11" s="140" t="n">
        <x:v>0</x:v>
      </x:c>
      <x:c r="L11" s="140" t="n">
        <x:v>12</x:v>
      </x:c>
      <x:c r="M11" s="141" t="n">
        <x:v>17</x:v>
      </x:c>
    </x:row>
    <x:row r="12" ht="21" customHeight="1">
      <x:c r="A12" s="142" t="str">
        <x:v>ORD-0002</x:v>
      </x:c>
      <x:c r="B12" s="143" t="str">
        <x:v>Irbid|Enterprise Data|C41014|UPG</x:v>
      </x:c>
      <x:c r="C12" s="143" t="str">
        <x:v>ACC-15863</x:v>
      </x:c>
      <x:c r="D12" s="231" t="n">
        <x:v>46139</x:v>
      </x:c>
      <x:c r="E12" s="231" t="n">
        <x:v>46145</x:v>
      </x:c>
      <x:c r="F12" s="231" t="n">
        <x:v>46146</x:v>
      </x:c>
      <x:c r="G12" s="143" t="str">
        <x:v>Medium</x:v>
      </x:c>
      <x:c r="H12" s="237" t="n">
        <x:v>1242.36</x:v>
      </x:c>
      <x:c r="I12" s="237" t="n">
        <x:v>1500</x:v>
      </x:c>
      <x:c r="J12" s="243" t="n">
        <x:v>71</x:v>
      </x:c>
      <x:c r="K12" s="143" t="n">
        <x:v>7</x:v>
      </x:c>
      <x:c r="L12" s="143" t="n">
        <x:v>12</x:v>
      </x:c>
      <x:c r="M12" s="144" t="n">
        <x:v>1</x:v>
      </x:c>
    </x:row>
    <x:row r="13" ht="21" customHeight="1">
      <x:c r="A13" s="142" t="str">
        <x:v>ORD-0003</x:v>
      </x:c>
      <x:c r="B13" s="143" t="str">
        <x:v>Irbid|Fiber|C41009|ACT</x:v>
      </x:c>
      <x:c r="C13" s="143" t="str">
        <x:v>ACC-53020</x:v>
      </x:c>
      <x:c r="D13" s="231" t="n">
        <x:v>46102</x:v>
      </x:c>
      <x:c r="E13" s="231" t="n">
        <x:v>46105</x:v>
      </x:c>
      <x:c r="F13" s="231" t="n">
        <x:v>46108</x:v>
      </x:c>
      <x:c r="G13" s="143" t="str">
        <x:v>High</x:v>
      </x:c>
      <x:c r="H13" s="237" t="n">
        <x:v>689.93</x:v>
      </x:c>
      <x:c r="I13" s="237" t="n">
        <x:v>600</x:v>
      </x:c>
      <x:c r="J13" s="243" t="n">
        <x:v>58</x:v>
      </x:c>
      <x:c r="K13" s="143" t="n">
        <x:v>3</x:v>
      </x:c>
      <x:c r="L13" s="143" t="n">
        <x:v>12</x:v>
      </x:c>
      <x:c r="M13" s="144" t="n">
        <x:v>14</x:v>
      </x:c>
    </x:row>
    <x:row r="14" ht="21" customHeight="1">
      <x:c r="A14" s="142" t="str">
        <x:v>ORD-0004</x:v>
      </x:c>
      <x:c r="B14" s="143" t="str">
        <x:v>Amman|5G Home|C41030|ACT</x:v>
      </x:c>
      <x:c r="C14" s="143" t="str">
        <x:v>ACC-28045</x:v>
      </x:c>
      <x:c r="D14" s="231" t="n">
        <x:v>46031</x:v>
      </x:c>
      <x:c r="E14" s="231" t="n">
        <x:v>46035</x:v>
      </x:c>
      <x:c r="F14" s="231" t="n">
        <x:v>46038</x:v>
      </x:c>
      <x:c r="G14" s="143" t="str">
        <x:v>Medium</x:v>
      </x:c>
      <x:c r="H14" s="237" t="n">
        <x:v>1789.92</x:v>
      </x:c>
      <x:c r="I14" s="237" t="n">
        <x:v>1500</x:v>
      </x:c>
      <x:c r="J14" s="243" t="n">
        <x:v>76</x:v>
      </x:c>
      <x:c r="K14" s="143" t="n">
        <x:v>0</x:v>
      </x:c>
      <x:c r="L14" s="143" t="n">
        <x:v>8</x:v>
      </x:c>
      <x:c r="M14" s="144" t="n">
        <x:v>2</x:v>
      </x:c>
    </x:row>
    <x:row r="15" ht="21" customHeight="1">
      <x:c r="A15" s="142" t="str">
        <x:v>ORD-0005</x:v>
      </x:c>
      <x:c r="B15" s="143" t="str">
        <x:v>Balqa|Fiber|C41029|REN</x:v>
      </x:c>
      <x:c r="C15" s="143" t="n">
        <x:v>64222</x:v>
      </x:c>
      <x:c r="D15" s="231" t="n">
        <x:v>46159</x:v>
      </x:c>
      <x:c r="E15" s="231" t="n">
        <x:v>46163</x:v>
      </x:c>
      <x:c r="F15" s="231" t="n">
        <x:v>46162</x:v>
      </x:c>
      <x:c r="G15" s="143" t="str">
        <x:v>Medium</x:v>
      </x:c>
      <x:c r="H15" s="237" t="n">
        <x:v>709.12</x:v>
      </x:c>
      <x:c r="I15" s="237" t="n">
        <x:v>600</x:v>
      </x:c>
      <x:c r="J15" s="243" t="n">
        <x:v>98</x:v>
      </x:c>
      <x:c r="K15" s="143" t="n">
        <x:v>12</x:v>
      </x:c>
      <x:c r="L15" s="143" t="n">
        <x:v>4</x:v>
      </x:c>
      <x:c r="M15" s="144" t="n">
        <x:v>18</x:v>
      </x:c>
    </x:row>
    <x:row r="16" ht="21" customHeight="1">
      <x:c r="A16" s="142" t="str">
        <x:v>ORD-0006</x:v>
      </x:c>
      <x:c r="B16" s="143" t="str">
        <x:v>Zarqa|Mobile|C41017|REN</x:v>
      </x:c>
      <x:c r="C16" s="143" t="str">
        <x:v>ACC-51677</x:v>
      </x:c>
      <x:c r="D16" s="231" t="n">
        <x:v>46207</x:v>
      </x:c>
      <x:c r="E16" s="231" t="n">
        <x:v>46211</x:v>
      </x:c>
      <x:c r="F16" s="231" t="n">
        <x:v>46211</x:v>
      </x:c>
      <x:c r="G16" s="143" t="str">
        <x:v>High</x:v>
      </x:c>
      <x:c r="H16" s="237" t="n">
        <x:v>757.89</x:v>
      </x:c>
      <x:c r="I16" s="237" t="n">
        <x:v>600</x:v>
      </x:c>
      <x:c r="J16" s="243" t="n">
        <x:v>64</x:v>
      </x:c>
      <x:c r="K16" s="143" t="n">
        <x:v>1</x:v>
      </x:c>
      <x:c r="L16" s="143" t="n">
        <x:v>12</x:v>
      </x:c>
      <x:c r="M16" s="144" t="n">
        <x:v>36</x:v>
      </x:c>
    </x:row>
    <x:row r="17" ht="21" customHeight="1">
      <x:c r="A17" s="142" t="str">
        <x:v>ORD-0007</x:v>
      </x:c>
      <x:c r="B17" s="143" t="str">
        <x:v>Amman|5G Home|C41030|ACT</x:v>
      </x:c>
      <x:c r="C17" s="143" t="str">
        <x:v>ACC-48995</x:v>
      </x:c>
      <x:c r="D17" s="231" t="n">
        <x:v>46042</x:v>
      </x:c>
      <x:c r="E17" s="231" t="n">
        <x:v>46046</x:v>
      </x:c>
      <x:c r="F17" s="231" t="n">
        <x:v>46049</x:v>
      </x:c>
      <x:c r="G17" s="143" t="str">
        <x:v>Medium</x:v>
      </x:c>
      <x:c r="H17" s="237" t="n">
        <x:v>830.56</x:v>
      </x:c>
      <x:c r="I17" s="237" t="n">
        <x:v>1000</x:v>
      </x:c>
      <x:c r="J17" s="243" t="n">
        <x:v>97</x:v>
      </x:c>
      <x:c r="K17" s="143" t="n">
        <x:v>8</x:v>
      </x:c>
      <x:c r="L17" s="143" t="n">
        <x:v>4</x:v>
      </x:c>
      <x:c r="M17" s="144" t="n">
        <x:v>21</x:v>
      </x:c>
    </x:row>
    <x:row r="18" ht="21" customHeight="1">
      <x:c r="A18" s="142" t="str">
        <x:v>ORD-0008</x:v>
      </x:c>
      <x:c r="B18" s="143" t="str">
        <x:v>Amman|Mobile|C41012|MIG</x:v>
      </x:c>
      <x:c r="C18" s="143" t="n">
        <x:v>34870</x:v>
      </x:c>
      <x:c r="D18" s="231" t="n">
        <x:v>46184</x:v>
      </x:c>
      <x:c r="E18" s="231" t="n">
        <x:v>46190</x:v>
      </x:c>
      <x:c r="F18" s="231" t="n">
        <x:v>46194</x:v>
      </x:c>
      <x:c r="G18" s="143" t="str">
        <x:v>Low</x:v>
      </x:c>
      <x:c r="H18" s="237" t="n">
        <x:v>387.82</x:v>
      </x:c>
      <x:c r="I18" s="237" t="n">
        <x:v>450</x:v>
      </x:c>
      <x:c r="J18" s="243" t="n">
        <x:v>90</x:v>
      </x:c>
      <x:c r="K18" s="143" t="n">
        <x:v>10</x:v>
      </x:c>
      <x:c r="L18" s="143" t="n">
        <x:v>12</x:v>
      </x:c>
      <x:c r="M18" s="144" t="n">
        <x:v>15</x:v>
      </x:c>
    </x:row>
    <x:row r="19" ht="21" customHeight="1">
      <x:c r="A19" s="142" t="str">
        <x:v>ORD-0009</x:v>
      </x:c>
      <x:c r="B19" s="143" t="str">
        <x:v>Amman|5G Home|C41002|UPG</x:v>
      </x:c>
      <x:c r="C19" s="143" t="str">
        <x:v>ACC-71440</x:v>
      </x:c>
      <x:c r="D19" s="231" t="n">
        <x:v>46085</x:v>
      </x:c>
      <x:c r="E19" s="231" t="n">
        <x:v>46091</x:v>
      </x:c>
      <x:c r="F19" s="231" t="n">
        <x:v>46093</x:v>
      </x:c>
      <x:c r="G19" s="143" t="str">
        <x:v>Medium</x:v>
      </x:c>
      <x:c r="H19" s="237" t="n">
        <x:v>272.51</x:v>
      </x:c>
      <x:c r="I19" s="237" t="n">
        <x:v>300</x:v>
      </x:c>
      <x:c r="J19" s="243" t="n">
        <x:v>69</x:v>
      </x:c>
      <x:c r="K19" s="143" t="n">
        <x:v>12</x:v>
      </x:c>
      <x:c r="L19" s="143" t="n">
        <x:v>48</x:v>
      </x:c>
      <x:c r="M19" s="144" t="n">
        <x:v>40</x:v>
      </x:c>
    </x:row>
    <x:row r="20" ht="21" customHeight="1">
      <x:c r="A20" s="142" t="str">
        <x:v>ORD-0010</x:v>
      </x:c>
      <x:c r="B20" s="143" t="str">
        <x:v>Balqa|Fiber|C41029|UPG</x:v>
      </x:c>
      <x:c r="C20" s="143" t="str">
        <x:v>ACC-98905</x:v>
      </x:c>
      <x:c r="D20" s="231" t="n">
        <x:v>46144</x:v>
      </x:c>
      <x:c r="E20" s="231" t="n">
        <x:v>46150</x:v>
      </x:c>
      <x:c r="F20" s="231" t="n">
        <x:v>46153</x:v>
      </x:c>
      <x:c r="G20" s="143" t="str">
        <x:v>Low</x:v>
      </x:c>
      <x:c r="H20" s="237" t="n">
        <x:v>1250.88</x:v>
      </x:c>
      <x:c r="I20" s="237" t="n">
        <x:v>1500</x:v>
      </x:c>
      <x:c r="J20" s="243" t="n">
        <x:v>78</x:v>
      </x:c>
      <x:c r="K20" s="143" t="n">
        <x:v>3</x:v>
      </x:c>
      <x:c r="L20" s="143" t="n">
        <x:v>12</x:v>
      </x:c>
      <x:c r="M20" s="144" t="n">
        <x:v>29</x:v>
      </x:c>
    </x:row>
    <x:row r="21" ht="21" customHeight="1">
      <x:c r="A21" s="142" t="str">
        <x:v>ORD-0011</x:v>
      </x:c>
      <x:c r="B21" s="143" t="str">
        <x:v>Amman|5G Home|C41030|REN</x:v>
      </x:c>
      <x:c r="C21" s="143" t="str">
        <x:v>ACC-11842</x:v>
      </x:c>
      <x:c r="D21" s="231" t="n">
        <x:v>46167</x:v>
      </x:c>
      <x:c r="E21" s="231" t="n">
        <x:v>46173</x:v>
      </x:c>
      <x:c r="F21" s="231" t="n">
        <x:v>46173</x:v>
      </x:c>
      <x:c r="G21" s="143" t="str">
        <x:v>Low</x:v>
      </x:c>
      <x:c r="H21" s="237" t="n">
        <x:v>999.47</x:v>
      </x:c>
      <x:c r="I21" s="237" t="n">
        <x:v>1200</x:v>
      </x:c>
      <x:c r="J21" s="243" t="n">
        <x:v>88</x:v>
      </x:c>
      <x:c r="K21" s="143" t="n">
        <x:v>1</x:v>
      </x:c>
      <x:c r="L21" s="143" t="n">
        <x:v>12</x:v>
      </x:c>
      <x:c r="M21" s="144" t="n">
        <x:v>11</x:v>
      </x:c>
    </x:row>
    <x:row r="22" ht="21" customHeight="1">
      <x:c r="A22" s="142" t="str">
        <x:v>ORD-0012</x:v>
      </x:c>
      <x:c r="B22" s="143" t="str">
        <x:v>Balqa|5G Home|C41035|REN</x:v>
      </x:c>
      <x:c r="C22" s="143" t="str">
        <x:v>ACC-47819</x:v>
      </x:c>
      <x:c r="D22" s="231" t="n">
        <x:v>46206</x:v>
      </x:c>
      <x:c r="E22" s="231" t="n">
        <x:v>46212</x:v>
      </x:c>
      <x:c r="F22" s="231" t="n">
        <x:v>46214</x:v>
      </x:c>
      <x:c r="G22" s="143" t="str">
        <x:v>Medium</x:v>
      </x:c>
      <x:c r="H22" s="237" t="n">
        <x:v>874.14</x:v>
      </x:c>
      <x:c r="I22" s="237" t="n">
        <x:v>800</x:v>
      </x:c>
      <x:c r="J22" s="243" t="n">
        <x:v>92</x:v>
      </x:c>
      <x:c r="K22" s="143" t="n">
        <x:v>8</x:v>
      </x:c>
      <x:c r="L22" s="143" t="n">
        <x:v>48</x:v>
      </x:c>
      <x:c r="M22" s="144" t="n">
        <x:v>12</x:v>
      </x:c>
    </x:row>
    <x:row r="23" ht="21" customHeight="1">
      <x:c r="A23" s="142" t="str">
        <x:v>ORD-0013</x:v>
      </x:c>
      <x:c r="B23" s="143" t="str">
        <x:v>Amman|5G Home|C41001|UPG</x:v>
      </x:c>
      <x:c r="C23" s="143" t="str">
        <x:v>ACC-80589</x:v>
      </x:c>
      <x:c r="D23" s="231" t="n">
        <x:v>46071</x:v>
      </x:c>
      <x:c r="E23" s="231" t="n">
        <x:v>46075</x:v>
      </x:c>
      <x:c r="F23" s="231" t="n">
        <x:v>46079</x:v>
      </x:c>
      <x:c r="G23" s="143" t="str">
        <x:v>High</x:v>
      </x:c>
      <x:c r="H23" s="237" t="n">
        <x:v>1220.46</x:v>
      </x:c>
      <x:c r="I23" s="237" t="n">
        <x:v>1000</x:v>
      </x:c>
      <x:c r="J23" s="243" t="n">
        <x:v>100</x:v>
      </x:c>
      <x:c r="K23" s="143" t="n">
        <x:v>6</x:v>
      </x:c>
      <x:c r="L23" s="143" t="n">
        <x:v>12</x:v>
      </x:c>
      <x:c r="M23" s="144" t="n">
        <x:v>13</x:v>
      </x:c>
    </x:row>
    <x:row r="24" ht="21" customHeight="1">
      <x:c r="A24" s="142" t="str">
        <x:v>ORD-0014</x:v>
      </x:c>
      <x:c r="B24" s="143" t="str">
        <x:v>Amman|Fiber|C41015|MIG</x:v>
      </x:c>
      <x:c r="C24" s="143" t="str">
        <x:v>ACC-58772</x:v>
      </x:c>
      <x:c r="D24" s="231" t="n">
        <x:v>46170</x:v>
      </x:c>
      <x:c r="E24" s="231" t="n">
        <x:v>46172</x:v>
      </x:c>
      <x:c r="F24" s="231" t="n">
        <x:v>46174</x:v>
      </x:c>
      <x:c r="G24" s="143" t="str">
        <x:v>High</x:v>
      </x:c>
      <x:c r="H24" s="237" t="n">
        <x:v>515.72</x:v>
      </x:c>
      <x:c r="I24" s="237" t="n">
        <x:v>450</x:v>
      </x:c>
      <x:c r="J24" s="243" t="n">
        <x:v>58</x:v>
      </x:c>
      <x:c r="K24" s="143" t="n">
        <x:v>10</x:v>
      </x:c>
      <x:c r="L24" s="143" t="n">
        <x:v>4</x:v>
      </x:c>
      <x:c r="M24" s="144" t="n">
        <x:v>27</x:v>
      </x:c>
    </x:row>
    <x:row r="25" ht="21" customHeight="1">
      <x:c r="A25" s="142" t="str">
        <x:v>ORD-0015</x:v>
      </x:c>
      <x:c r="B25" s="143" t="str">
        <x:v>Zarqa|5G Home|C41028|MIG</x:v>
      </x:c>
      <x:c r="C25" s="143" t="str">
        <x:v>ACC-97659</x:v>
      </x:c>
      <x:c r="D25" s="231" t="n">
        <x:v>46183</x:v>
      </x:c>
      <x:c r="E25" s="231" t="n">
        <x:v>46189</x:v>
      </x:c>
      <x:c r="F25" s="231" t="n">
        <x:v>46188</x:v>
      </x:c>
      <x:c r="G25" s="143" t="str">
        <x:v>Medium</x:v>
      </x:c>
      <x:c r="H25" s="237" t="n">
        <x:v>542.59</x:v>
      </x:c>
      <x:c r="I25" s="237" t="n">
        <x:v>600</x:v>
      </x:c>
      <x:c r="J25" s="243" t="n">
        <x:v>65</x:v>
      </x:c>
      <x:c r="K25" s="143" t="n">
        <x:v>4</x:v>
      </x:c>
      <x:c r="L25" s="143" t="n">
        <x:v>8</x:v>
      </x:c>
      <x:c r="M25" s="144" t="n">
        <x:v>3</x:v>
      </x:c>
    </x:row>
    <x:row r="26" ht="21" customHeight="1">
      <x:c r="A26" s="142" t="str">
        <x:v>ORD-0016</x:v>
      </x:c>
      <x:c r="B26" s="143" t="str">
        <x:v>Aqaba|Mobile|C41007|MIG</x:v>
      </x:c>
      <x:c r="C26" s="143" t="n">
        <x:v>17748</x:v>
      </x:c>
      <x:c r="D26" s="231" t="n">
        <x:v>46161</x:v>
      </x:c>
      <x:c r="E26" s="231" t="n">
        <x:v>46167</x:v>
      </x:c>
      <x:c r="F26" s="231" t="n">
        <x:v>46166</x:v>
      </x:c>
      <x:c r="G26" s="143" t="str">
        <x:v>Medium</x:v>
      </x:c>
      <x:c r="H26" s="237" t="n">
        <x:v>597.95</x:v>
      </x:c>
      <x:c r="I26" s="237" t="n">
        <x:v>600</x:v>
      </x:c>
      <x:c r="J26" s="243" t="n">
        <x:v>75</x:v>
      </x:c>
      <x:c r="K26" s="143" t="n">
        <x:v>10</x:v>
      </x:c>
      <x:c r="L26" s="143" t="n">
        <x:v>12</x:v>
      </x:c>
      <x:c r="M26" s="144" t="n">
        <x:v>10</x:v>
      </x:c>
    </x:row>
    <x:row r="27" ht="21" customHeight="1">
      <x:c r="A27" s="142" t="str">
        <x:v>ORD-0017</x:v>
      </x:c>
      <x:c r="B27" s="143" t="str">
        <x:v>Zarqa|Mobile|C41017|ACT</x:v>
      </x:c>
      <x:c r="C27" s="143" t="str">
        <x:v>ACC-35310</x:v>
      </x:c>
      <x:c r="D27" s="231" t="n">
        <x:v>46129</x:v>
      </x:c>
      <x:c r="E27" s="231" t="n">
        <x:v>46135</x:v>
      </x:c>
      <x:c r="F27" s="231" t="n">
        <x:v>46139</x:v>
      </x:c>
      <x:c r="G27" s="143" t="str">
        <x:v>Low</x:v>
      </x:c>
      <x:c r="H27" s="237" t="n">
        <x:v>733.39</x:v>
      </x:c>
      <x:c r="I27" s="237" t="n">
        <x:v>600</x:v>
      </x:c>
      <x:c r="J27" s="243" t="n">
        <x:v>100</x:v>
      </x:c>
      <x:c r="K27" s="143" t="n">
        <x:v>11</x:v>
      </x:c>
      <x:c r="L27" s="143" t="n">
        <x:v>8</x:v>
      </x:c>
      <x:c r="M27" s="144" t="n">
        <x:v>5</x:v>
      </x:c>
    </x:row>
    <x:row r="28" ht="21" customHeight="1">
      <x:c r="A28" s="142" t="str">
        <x:v>ORD-0018</x:v>
      </x:c>
      <x:c r="B28" s="143" t="str">
        <x:v>Zarqa|Mobile|C41017|MIG</x:v>
      </x:c>
      <x:c r="C28" s="143" t="str">
        <x:v>ACC-41638</x:v>
      </x:c>
      <x:c r="D28" s="231" t="n">
        <x:v>46194</x:v>
      </x:c>
      <x:c r="E28" s="231" t="n">
        <x:v>46201</x:v>
      </x:c>
      <x:c r="F28" s="231" t="n">
        <x:v>46200</x:v>
      </x:c>
      <x:c r="G28" s="143" t="str">
        <x:v>Low</x:v>
      </x:c>
      <x:c r="H28" s="237" t="n">
        <x:v>1789.93</x:v>
      </x:c>
      <x:c r="I28" s="237" t="n">
        <x:v>1500</x:v>
      </x:c>
      <x:c r="J28" s="243" t="n">
        <x:v>77</x:v>
      </x:c>
      <x:c r="K28" s="143" t="n">
        <x:v>2</x:v>
      </x:c>
      <x:c r="L28" s="143" t="n">
        <x:v>12</x:v>
      </x:c>
      <x:c r="M28" s="144" t="n">
        <x:v>10</x:v>
      </x:c>
    </x:row>
    <x:row r="29" ht="21" customHeight="1">
      <x:c r="A29" s="142" t="str">
        <x:v>ORD-0019</x:v>
      </x:c>
      <x:c r="B29" s="143" t="str">
        <x:v>Amman|Mobile|C41032|ACT</x:v>
      </x:c>
      <x:c r="C29" s="143" t="n">
        <x:v>32948</x:v>
      </x:c>
      <x:c r="D29" s="231" t="n">
        <x:v>46079</x:v>
      </x:c>
      <x:c r="E29" s="231" t="n">
        <x:v>46083</x:v>
      </x:c>
      <x:c r="F29" s="231" t="n">
        <x:v>46087</x:v>
      </x:c>
      <x:c r="G29" s="143" t="str">
        <x:v>Medium</x:v>
      </x:c>
      <x:c r="H29" s="237" t="n">
        <x:v>329.45</x:v>
      </x:c>
      <x:c r="I29" s="237" t="n">
        <x:v>450</x:v>
      </x:c>
      <x:c r="J29" s="243" t="n">
        <x:v>65</x:v>
      </x:c>
      <x:c r="K29" s="143" t="n">
        <x:v>0</x:v>
      </x:c>
      <x:c r="L29" s="143" t="n">
        <x:v>12</x:v>
      </x:c>
      <x:c r="M29" s="144" t="n">
        <x:v>33</x:v>
      </x:c>
    </x:row>
    <x:row r="30" ht="21" customHeight="1">
      <x:c r="A30" s="142" t="str">
        <x:v>ORD-0020</x:v>
      </x:c>
      <x:c r="B30" s="143" t="str">
        <x:v>Aqaba|Mobile|C41038|REN</x:v>
      </x:c>
      <x:c r="C30" s="143" t="str">
        <x:v>ACC-32400</x:v>
      </x:c>
      <x:c r="D30" s="231" t="n">
        <x:v>46258</x:v>
      </x:c>
      <x:c r="E30" s="231" t="n">
        <x:v>46264</x:v>
      </x:c>
      <x:c r="F30" s="231" t="n">
        <x:v>46263</x:v>
      </x:c>
      <x:c r="G30" s="143" t="str">
        <x:v>Low</x:v>
      </x:c>
      <x:c r="H30" s="237" t="n">
        <x:v>1065.43</x:v>
      </x:c>
      <x:c r="I30" s="237" t="n">
        <x:v>1000</x:v>
      </x:c>
      <x:c r="J30" s="243" t="n">
        <x:v>88</x:v>
      </x:c>
      <x:c r="K30" s="143" t="n">
        <x:v>10</x:v>
      </x:c>
      <x:c r="L30" s="143" t="n">
        <x:v>12</x:v>
      </x:c>
      <x:c r="M30" s="144" t="n">
        <x:v>23</x:v>
      </x:c>
    </x:row>
    <x:row r="31" ht="21" customHeight="1">
      <x:c r="A31" s="142" t="str">
        <x:v>ORD-0021</x:v>
      </x:c>
      <x:c r="B31" s="143" t="str">
        <x:v>Aqaba|Fiber|C41011|MIG</x:v>
      </x:c>
      <x:c r="C31" s="143" t="str">
        <x:v>ACC-46958</x:v>
      </x:c>
      <x:c r="D31" s="231" t="n">
        <x:v>46053</x:v>
      </x:c>
      <x:c r="E31" s="231" t="n">
        <x:v>46057</x:v>
      </x:c>
      <x:c r="F31" s="231" t="n">
        <x:v>46061</x:v>
      </x:c>
      <x:c r="G31" s="143" t="str">
        <x:v>Medium</x:v>
      </x:c>
      <x:c r="H31" s="237" t="n">
        <x:v>1044.4</x:v>
      </x:c>
      <x:c r="I31" s="237" t="n">
        <x:v>1000</x:v>
      </x:c>
      <x:c r="J31" s="243" t="n">
        <x:v>67</x:v>
      </x:c>
      <x:c r="K31" s="143" t="n">
        <x:v>12</x:v>
      </x:c>
      <x:c r="L31" s="143" t="n">
        <x:v>8</x:v>
      </x:c>
      <x:c r="M31" s="144" t="n">
        <x:v>3</x:v>
      </x:c>
    </x:row>
    <x:row r="32" ht="21" customHeight="1">
      <x:c r="A32" s="142" t="str">
        <x:v>ORD-0022</x:v>
      </x:c>
      <x:c r="B32" s="143" t="str">
        <x:v>Amman|Enterprise Data|C41039|ACT</x:v>
      </x:c>
      <x:c r="C32" s="143" t="str">
        <x:v>ACC-42344</x:v>
      </x:c>
      <x:c r="D32" s="231" t="n">
        <x:v>46055</x:v>
      </x:c>
      <x:c r="E32" s="231" t="n">
        <x:v>46061</x:v>
      </x:c>
      <x:c r="F32" s="231" t="n">
        <x:v>46061</x:v>
      </x:c>
      <x:c r="G32" s="143" t="str">
        <x:v>Medium</x:v>
      </x:c>
      <x:c r="H32" s="237" t="n">
        <x:v>988.37</x:v>
      </x:c>
      <x:c r="I32" s="237" t="n">
        <x:v>1200</x:v>
      </x:c>
      <x:c r="J32" s="243" t="n">
        <x:v>94</x:v>
      </x:c>
      <x:c r="K32" s="143" t="n">
        <x:v>2</x:v>
      </x:c>
      <x:c r="L32" s="143" t="n">
        <x:v>24</x:v>
      </x:c>
      <x:c r="M32" s="144" t="n">
        <x:v>4</x:v>
      </x:c>
    </x:row>
    <x:row r="33" ht="21" customHeight="1">
      <x:c r="A33" s="142" t="str">
        <x:v>ORD-0023</x:v>
      </x:c>
      <x:c r="B33" s="143" t="str">
        <x:v>Aqaba|5G Home|C41013|REN</x:v>
      </x:c>
      <x:c r="C33" s="143" t="str">
        <x:v>ACC-16215</x:v>
      </x:c>
      <x:c r="D33" s="231" t="n">
        <x:v>46067</x:v>
      </x:c>
      <x:c r="E33" s="231" t="n">
        <x:v>46075</x:v>
      </x:c>
      <x:c r="F33" s="231" t="n">
        <x:v>46075</x:v>
      </x:c>
      <x:c r="G33" s="143" t="str">
        <x:v>Low</x:v>
      </x:c>
      <x:c r="H33" s="237" t="n">
        <x:v>828.04</x:v>
      </x:c>
      <x:c r="I33" s="237" t="n">
        <x:v>1000</x:v>
      </x:c>
      <x:c r="J33" s="243" t="n">
        <x:v>69</x:v>
      </x:c>
      <x:c r="K33" s="143" t="n">
        <x:v>0</x:v>
      </x:c>
      <x:c r="L33" s="143" t="n">
        <x:v>48</x:v>
      </x:c>
      <x:c r="M33" s="144" t="n">
        <x:v>11</x:v>
      </x:c>
    </x:row>
    <x:row r="34" ht="21" customHeight="1">
      <x:c r="A34" s="142" t="str">
        <x:v>ORD-0024</x:v>
      </x:c>
      <x:c r="B34" s="143" t="str">
        <x:v>Aqaba|Mobile|C41007|UPG</x:v>
      </x:c>
      <x:c r="C34" s="143" t="n">
        <x:v>77255</x:v>
      </x:c>
      <x:c r="D34" s="231" t="n">
        <x:v>46251</x:v>
      </x:c>
      <x:c r="E34" s="231" t="n">
        <x:v>46255</x:v>
      </x:c>
      <x:c r="F34" s="231" t="n">
        <x:v>46256</x:v>
      </x:c>
      <x:c r="G34" s="143" t="str">
        <x:v>Medium</x:v>
      </x:c>
      <x:c r="H34" s="237" t="n">
        <x:v>555.88</x:v>
      </x:c>
      <x:c r="I34" s="237" t="n">
        <x:v>600</x:v>
      </x:c>
      <x:c r="J34" s="243" t="n">
        <x:v>65</x:v>
      </x:c>
      <x:c r="K34" s="143" t="n">
        <x:v>0</x:v>
      </x:c>
      <x:c r="L34" s="143" t="n">
        <x:v>4</x:v>
      </x:c>
      <x:c r="M34" s="144" t="n">
        <x:v>19</x:v>
      </x:c>
    </x:row>
    <x:row r="35" ht="21" customHeight="1">
      <x:c r="A35" s="142" t="str">
        <x:v>ORD-0025</x:v>
      </x:c>
      <x:c r="B35" s="143" t="str">
        <x:v>Amman|5G Home|C41030|MIG</x:v>
      </x:c>
      <x:c r="C35" s="143" t="str">
        <x:v>ACC-67221</x:v>
      </x:c>
      <x:c r="D35" s="231" t="n">
        <x:v>46214</x:v>
      </x:c>
      <x:c r="E35" s="231" t="n">
        <x:v>46218</x:v>
      </x:c>
      <x:c r="F35" s="231" t="n">
        <x:v>46219</x:v>
      </x:c>
      <x:c r="G35" s="143" t="str">
        <x:v>Medium</x:v>
      </x:c>
      <x:c r="H35" s="237" t="n">
        <x:v>926.32</x:v>
      </x:c>
      <x:c r="I35" s="237" t="n">
        <x:v>800</x:v>
      </x:c>
      <x:c r="J35" s="243" t="n">
        <x:v>60</x:v>
      </x:c>
      <x:c r="K35" s="143" t="n">
        <x:v>10</x:v>
      </x:c>
      <x:c r="L35" s="143" t="n">
        <x:v>48</x:v>
      </x:c>
      <x:c r="M35" s="144" t="n">
        <x:v>38</x:v>
      </x:c>
    </x:row>
    <x:row r="36" ht="21" customHeight="1">
      <x:c r="A36" s="142" t="str">
        <x:v>ORD-0026</x:v>
      </x:c>
      <x:c r="B36" s="143" t="str">
        <x:v>Balqa|5G Home|C41033|UPG</x:v>
      </x:c>
      <x:c r="C36" s="143" t="str">
        <x:v>ACC-21296</x:v>
      </x:c>
      <x:c r="D36" s="231" t="n">
        <x:v>46221</x:v>
      </x:c>
      <x:c r="E36" s="231" t="n">
        <x:v>46225</x:v>
      </x:c>
      <x:c r="F36" s="231" t="n">
        <x:v>46229</x:v>
      </x:c>
      <x:c r="G36" s="143" t="str">
        <x:v>High</x:v>
      </x:c>
      <x:c r="H36" s="237" t="n">
        <x:v>539.75</x:v>
      </x:c>
      <x:c r="I36" s="237" t="n">
        <x:v>450</x:v>
      </x:c>
      <x:c r="J36" s="243" t="n">
        <x:v>92</x:v>
      </x:c>
      <x:c r="K36" s="143" t="n">
        <x:v>2</x:v>
      </x:c>
      <x:c r="L36" s="143" t="n">
        <x:v>8</x:v>
      </x:c>
      <x:c r="M36" s="144" t="n">
        <x:v>1</x:v>
      </x:c>
    </x:row>
    <x:row r="37" ht="21" customHeight="1">
      <x:c r="A37" s="142" t="str">
        <x:v>ORD-0027</x:v>
      </x:c>
      <x:c r="B37" s="143" t="str">
        <x:v>Amman|Enterprise Data|C41039|MIG</x:v>
      </x:c>
      <x:c r="C37" s="143" t="str">
        <x:v>ACC-10418</x:v>
      </x:c>
      <x:c r="D37" s="231" t="n">
        <x:v>46257</x:v>
      </x:c>
      <x:c r="E37" s="231" t="n">
        <x:v>46263</x:v>
      </x:c>
      <x:c r="F37" s="231" t="n">
        <x:v>46263</x:v>
      </x:c>
      <x:c r="G37" s="143" t="str">
        <x:v>Low</x:v>
      </x:c>
      <x:c r="H37" s="237" t="n">
        <x:v>684.67</x:v>
      </x:c>
      <x:c r="I37" s="237" t="n">
        <x:v>800</x:v>
      </x:c>
      <x:c r="J37" s="243" t="n">
        <x:v>76</x:v>
      </x:c>
      <x:c r="K37" s="143" t="n">
        <x:v>7</x:v>
      </x:c>
      <x:c r="L37" s="143" t="n">
        <x:v>8</x:v>
      </x:c>
      <x:c r="M37" s="144" t="n">
        <x:v>31</x:v>
      </x:c>
    </x:row>
    <x:row r="38" ht="21" customHeight="1">
      <x:c r="A38" s="142" t="str">
        <x:v>ORD-0028</x:v>
      </x:c>
      <x:c r="B38" s="143" t="str">
        <x:v>Aqaba|Mobile|C41024|REN</x:v>
      </x:c>
      <x:c r="C38" s="143" t="str">
        <x:v>ACC-71671</x:v>
      </x:c>
      <x:c r="D38" s="231" t="n">
        <x:v>46036</x:v>
      </x:c>
      <x:c r="E38" s="231" t="n">
        <x:v>46043</x:v>
      </x:c>
      <x:c r="F38" s="231" t="n">
        <x:v>46046</x:v>
      </x:c>
      <x:c r="G38" s="143" t="str">
        <x:v>Low</x:v>
      </x:c>
      <x:c r="H38" s="237" t="n">
        <x:v>348.31</x:v>
      </x:c>
      <x:c r="I38" s="237" t="n">
        <x:v>300</x:v>
      </x:c>
      <x:c r="J38" s="243" t="n">
        <x:v>58</x:v>
      </x:c>
      <x:c r="K38" s="143" t="n">
        <x:v>11</x:v>
      </x:c>
      <x:c r="L38" s="143" t="n">
        <x:v>48</x:v>
      </x:c>
      <x:c r="M38" s="144" t="n">
        <x:v>7</x:v>
      </x:c>
    </x:row>
    <x:row r="39" ht="21" customHeight="1">
      <x:c r="A39" s="142" t="str">
        <x:v>ORD-0029</x:v>
      </x:c>
      <x:c r="B39" s="143" t="str">
        <x:v>Aqaba|5G Home|C41026|MIG</x:v>
      </x:c>
      <x:c r="C39" s="143" t="str">
        <x:v>ACC-84778</x:v>
      </x:c>
      <x:c r="D39" s="231" t="n">
        <x:v>46118</x:v>
      </x:c>
      <x:c r="E39" s="231" t="n">
        <x:v>46124</x:v>
      </x:c>
      <x:c r="F39" s="231" t="n">
        <x:v>46127</x:v>
      </x:c>
      <x:c r="G39" s="143" t="str">
        <x:v>Medium</x:v>
      </x:c>
      <x:c r="H39" s="237" t="n">
        <x:v>803.32</x:v>
      </x:c>
      <x:c r="I39" s="237" t="n">
        <x:v>800</x:v>
      </x:c>
      <x:c r="J39" s="243" t="n">
        <x:v>89</x:v>
      </x:c>
      <x:c r="K39" s="143" t="n">
        <x:v>3</x:v>
      </x:c>
      <x:c r="L39" s="143" t="n">
        <x:v>24</x:v>
      </x:c>
      <x:c r="M39" s="144" t="n">
        <x:v>1</x:v>
      </x:c>
    </x:row>
    <x:row r="40" ht="21" customHeight="1">
      <x:c r="A40" s="142" t="str">
        <x:v>ORD-0030</x:v>
      </x:c>
      <x:c r="B40" s="143" t="str">
        <x:v>Aqaba|5G Home|C41027|MIG</x:v>
      </x:c>
      <x:c r="C40" s="143" t="str">
        <x:v>ACC-94451</x:v>
      </x:c>
      <x:c r="D40" s="231" t="n">
        <x:v>46251</x:v>
      </x:c>
      <x:c r="E40" s="231" t="n">
        <x:v>46258</x:v>
      </x:c>
      <x:c r="F40" s="231" t="n">
        <x:v>46259</x:v>
      </x:c>
      <x:c r="G40" s="143" t="str">
        <x:v>Low</x:v>
      </x:c>
      <x:c r="H40" s="237" t="n">
        <x:v>235.29</x:v>
      </x:c>
      <x:c r="I40" s="237" t="n">
        <x:v>300</x:v>
      </x:c>
      <x:c r="J40" s="243" t="n">
        <x:v>94</x:v>
      </x:c>
      <x:c r="K40" s="143" t="n">
        <x:v>8</x:v>
      </x:c>
      <x:c r="L40" s="143" t="n">
        <x:v>8</x:v>
      </x:c>
      <x:c r="M40" s="144" t="n">
        <x:v>24</x:v>
      </x:c>
    </x:row>
    <x:row r="41" ht="21" customHeight="1">
      <x:c r="A41" s="142" t="str">
        <x:v>ORD-0031</x:v>
      </x:c>
      <x:c r="B41" s="143" t="str">
        <x:v>Aqaba|Mobile|C41038|UPG</x:v>
      </x:c>
      <x:c r="C41" s="143" t="str">
        <x:v>ACC-93663</x:v>
      </x:c>
      <x:c r="D41" s="231" t="n">
        <x:v>46132</x:v>
      </x:c>
      <x:c r="E41" s="231" t="n">
        <x:v>46137</x:v>
      </x:c>
      <x:c r="F41" s="231" t="n">
        <x:v>46140</x:v>
      </x:c>
      <x:c r="G41" s="143" t="str">
        <x:v>Medium</x:v>
      </x:c>
      <x:c r="H41" s="237" t="n">
        <x:v>764.12</x:v>
      </x:c>
      <x:c r="I41" s="237" t="n">
        <x:v>800</x:v>
      </x:c>
      <x:c r="J41" s="243" t="n">
        <x:v>96</x:v>
      </x:c>
      <x:c r="K41" s="143" t="n">
        <x:v>10</x:v>
      </x:c>
      <x:c r="L41" s="143" t="n">
        <x:v>24</x:v>
      </x:c>
      <x:c r="M41" s="144" t="n">
        <x:v>31</x:v>
      </x:c>
    </x:row>
    <x:row r="42" ht="21" customHeight="1">
      <x:c r="A42" s="142" t="str">
        <x:v>ORD-0032</x:v>
      </x:c>
      <x:c r="B42" s="143" t="str">
        <x:v>Amman|Mobile|C41032|MIG</x:v>
      </x:c>
      <x:c r="C42" s="143" t="n">
        <x:v>37987</x:v>
      </x:c>
      <x:c r="D42" s="231" t="n">
        <x:v>46031</x:v>
      </x:c>
      <x:c r="E42" s="231" t="n">
        <x:v>46036</x:v>
      </x:c>
      <x:c r="F42" s="231" t="n">
        <x:v>46039</x:v>
      </x:c>
      <x:c r="G42" s="143" t="str">
        <x:v>Medium</x:v>
      </x:c>
      <x:c r="H42" s="237" t="n">
        <x:v>993.69</x:v>
      </x:c>
      <x:c r="I42" s="237" t="n">
        <x:v>1000</x:v>
      </x:c>
      <x:c r="J42" s="243" t="n">
        <x:v>82</x:v>
      </x:c>
      <x:c r="K42" s="143" t="n">
        <x:v>3</x:v>
      </x:c>
      <x:c r="L42" s="143" t="n">
        <x:v>4</x:v>
      </x:c>
      <x:c r="M42" s="144" t="n">
        <x:v>14</x:v>
      </x:c>
    </x:row>
    <x:row r="43" ht="21" customHeight="1">
      <x:c r="A43" s="142" t="str">
        <x:v>ORD-0033</x:v>
      </x:c>
      <x:c r="B43" s="143" t="str">
        <x:v>Amman|5G Home|C41002|REN</x:v>
      </x:c>
      <x:c r="C43" s="143" t="str">
        <x:v>ACC-89610</x:v>
      </x:c>
      <x:c r="D43" s="231" t="n">
        <x:v>46078</x:v>
      </x:c>
      <x:c r="E43" s="231" t="n">
        <x:v>46084</x:v>
      </x:c>
      <x:c r="F43" s="231" t="n">
        <x:v>46084</x:v>
      </x:c>
      <x:c r="G43" s="143" t="str">
        <x:v>Medium</x:v>
      </x:c>
      <x:c r="H43" s="237" t="n">
        <x:v>277.12</x:v>
      </x:c>
      <x:c r="I43" s="237" t="n">
        <x:v>300</x:v>
      </x:c>
      <x:c r="J43" s="243" t="n">
        <x:v>58</x:v>
      </x:c>
      <x:c r="K43" s="143" t="n">
        <x:v>1</x:v>
      </x:c>
      <x:c r="L43" s="143" t="n">
        <x:v>24</x:v>
      </x:c>
      <x:c r="M43" s="144" t="n">
        <x:v>27</x:v>
      </x:c>
    </x:row>
    <x:row r="44" ht="21" customHeight="1">
      <x:c r="A44" s="142" t="str">
        <x:v>ORD-0034</x:v>
      </x:c>
      <x:c r="B44" s="143" t="str">
        <x:v>Zarqa|Fiber|C41034|REN</x:v>
      </x:c>
      <x:c r="C44" s="143" t="str">
        <x:v>ACC-21281</x:v>
      </x:c>
      <x:c r="D44" s="231" t="n">
        <x:v>46248</x:v>
      </x:c>
      <x:c r="E44" s="231" t="n">
        <x:v>46253</x:v>
      </x:c>
      <x:c r="F44" s="231" t="n">
        <x:v>46257</x:v>
      </x:c>
      <x:c r="G44" s="143" t="str">
        <x:v>Medium</x:v>
      </x:c>
      <x:c r="H44" s="237" t="n">
        <x:v>1272.92</x:v>
      </x:c>
      <x:c r="I44" s="237" t="n">
        <x:v>1000</x:v>
      </x:c>
      <x:c r="J44" s="243" t="n">
        <x:v>98</x:v>
      </x:c>
      <x:c r="K44" s="143" t="n">
        <x:v>0</x:v>
      </x:c>
      <x:c r="L44" s="143" t="n">
        <x:v>4</x:v>
      </x:c>
      <x:c r="M44" s="144" t="n">
        <x:v>5</x:v>
      </x:c>
    </x:row>
    <x:row r="45" ht="21" customHeight="1">
      <x:c r="A45" s="142" t="str">
        <x:v>ORD-0035</x:v>
      </x:c>
      <x:c r="B45" s="143" t="str">
        <x:v>Amman|Mobile|C41031|REN</x:v>
      </x:c>
      <x:c r="C45" s="143" t="str">
        <x:v>ACC-10802</x:v>
      </x:c>
      <x:c r="D45" s="231" t="n">
        <x:v>46212</x:v>
      </x:c>
      <x:c r="E45" s="231" t="n">
        <x:v>46218</x:v>
      </x:c>
      <x:c r="F45" s="231" t="n">
        <x:v>46220</x:v>
      </x:c>
      <x:c r="G45" s="143" t="str">
        <x:v>Medium</x:v>
      </x:c>
      <x:c r="H45" s="237" t="n">
        <x:v>1806.66</x:v>
      </x:c>
      <x:c r="I45" s="237" t="n">
        <x:v>1500</x:v>
      </x:c>
      <x:c r="J45" s="243" t="n">
        <x:v>63</x:v>
      </x:c>
      <x:c r="K45" s="143" t="n">
        <x:v>1</x:v>
      </x:c>
      <x:c r="L45" s="143" t="n">
        <x:v>8</x:v>
      </x:c>
      <x:c r="M45" s="144" t="n">
        <x:v>5</x:v>
      </x:c>
    </x:row>
    <x:row r="46" ht="21" customHeight="1">
      <x:c r="A46" s="142" t="str">
        <x:v>ORD-0036</x:v>
      </x:c>
      <x:c r="B46" s="143" t="str">
        <x:v>Zarqa|Fiber|C41034|MIG</x:v>
      </x:c>
      <x:c r="C46" s="143" t="str">
        <x:v>ACC-82100</x:v>
      </x:c>
      <x:c r="D46" s="231" t="n">
        <x:v>46207</x:v>
      </x:c>
      <x:c r="E46" s="231" t="n">
        <x:v>46212</x:v>
      </x:c>
      <x:c r="F46" s="231" t="n">
        <x:v>46214</x:v>
      </x:c>
      <x:c r="G46" s="143" t="str">
        <x:v>Medium</x:v>
      </x:c>
      <x:c r="H46" s="237" t="n">
        <x:v>506.95</x:v>
      </x:c>
      <x:c r="I46" s="237" t="n">
        <x:v>600</x:v>
      </x:c>
      <x:c r="J46" s="243" t="n">
        <x:v>79</x:v>
      </x:c>
      <x:c r="K46" s="143" t="n">
        <x:v>1</x:v>
      </x:c>
      <x:c r="L46" s="143" t="n">
        <x:v>4</x:v>
      </x:c>
      <x:c r="M46" s="144" t="n">
        <x:v>13</x:v>
      </x:c>
    </x:row>
    <x:row r="47" ht="21" customHeight="1">
      <x:c r="A47" s="142" t="str">
        <x:v>ORD-0037</x:v>
      </x:c>
      <x:c r="B47" s="143" t="str">
        <x:v>Amman|Mobile|C41012|UPG</x:v>
      </x:c>
      <x:c r="C47" s="143" t="n">
        <x:v>53854</x:v>
      </x:c>
      <x:c r="D47" s="231" t="n">
        <x:v>46075</x:v>
      </x:c>
      <x:c r="E47" s="231" t="n">
        <x:v>46082</x:v>
      </x:c>
      <x:c r="F47" s="231" t="n">
        <x:v>46083</x:v>
      </x:c>
      <x:c r="G47" s="143" t="str">
        <x:v>Low</x:v>
      </x:c>
      <x:c r="H47" s="237" t="n">
        <x:v>1215.49</x:v>
      </x:c>
      <x:c r="I47" s="237" t="n">
        <x:v>1500</x:v>
      </x:c>
      <x:c r="J47" s="243" t="n">
        <x:v>88</x:v>
      </x:c>
      <x:c r="K47" s="143" t="n">
        <x:v>5</x:v>
      </x:c>
      <x:c r="L47" s="143" t="n">
        <x:v>24</x:v>
      </x:c>
      <x:c r="M47" s="144" t="n">
        <x:v>16</x:v>
      </x:c>
    </x:row>
    <x:row r="48" ht="21" customHeight="1">
      <x:c r="A48" s="142" t="str">
        <x:v>ORD-0038</x:v>
      </x:c>
      <x:c r="B48" s="143" t="str">
        <x:v>Aqaba|5G Home|C41013|ACT</x:v>
      </x:c>
      <x:c r="C48" s="143" t="str">
        <x:v>ACC-67318</x:v>
      </x:c>
      <x:c r="D48" s="231" t="n">
        <x:v>46047</x:v>
      </x:c>
      <x:c r="E48" s="231" t="n">
        <x:v>46052</x:v>
      </x:c>
      <x:c r="F48" s="231" t="n">
        <x:v>46051</x:v>
      </x:c>
      <x:c r="G48" s="143" t="str">
        <x:v>Medium</x:v>
      </x:c>
      <x:c r="H48" s="237" t="n">
        <x:v>356</x:v>
      </x:c>
      <x:c r="I48" s="237" t="n">
        <x:v>450</x:v>
      </x:c>
      <x:c r="J48" s="243" t="n">
        <x:v>97</x:v>
      </x:c>
      <x:c r="K48" s="143" t="n">
        <x:v>3</x:v>
      </x:c>
      <x:c r="L48" s="143" t="n">
        <x:v>8</x:v>
      </x:c>
      <x:c r="M48" s="144" t="n">
        <x:v>21</x:v>
      </x:c>
    </x:row>
    <x:row r="49" ht="21" customHeight="1">
      <x:c r="A49" s="142" t="str">
        <x:v>ORD-0039</x:v>
      </x:c>
      <x:c r="B49" s="143" t="str">
        <x:v>Amman|Mobile|C41031|UPG</x:v>
      </x:c>
      <x:c r="C49" s="143" t="str">
        <x:v>ACC-76548</x:v>
      </x:c>
      <x:c r="D49" s="231" t="n">
        <x:v>46146</x:v>
      </x:c>
      <x:c r="E49" s="231" t="n">
        <x:v>46152</x:v>
      </x:c>
      <x:c r="F49" s="231" t="n">
        <x:v>46151</x:v>
      </x:c>
      <x:c r="G49" s="143" t="str">
        <x:v>Medium</x:v>
      </x:c>
      <x:c r="H49" s="237" t="n">
        <x:v>575.78</x:v>
      </x:c>
      <x:c r="I49" s="237" t="n">
        <x:v>450</x:v>
      </x:c>
      <x:c r="J49" s="243" t="n">
        <x:v>79</x:v>
      </x:c>
      <x:c r="K49" s="143" t="n">
        <x:v>9</x:v>
      </x:c>
      <x:c r="L49" s="143" t="n">
        <x:v>8</x:v>
      </x:c>
      <x:c r="M49" s="144" t="n">
        <x:v>21</x:v>
      </x:c>
    </x:row>
    <x:row r="50" ht="21" customHeight="1">
      <x:c r="A50" s="142" t="str">
        <x:v>ORD-0040</x:v>
      </x:c>
      <x:c r="B50" s="143" t="str">
        <x:v>Irbid|Enterprise Data|C41014|UPG</x:v>
      </x:c>
      <x:c r="C50" s="143" t="n">
        <x:v>82435</x:v>
      </x:c>
      <x:c r="D50" s="231" t="n">
        <x:v>46142</x:v>
      </x:c>
      <x:c r="E50" s="231" t="n">
        <x:v>46149</x:v>
      </x:c>
      <x:c r="F50" s="231" t="n">
        <x:v>46150</x:v>
      </x:c>
      <x:c r="G50" s="143" t="str">
        <x:v>Low</x:v>
      </x:c>
      <x:c r="H50" s="237" t="n">
        <x:v>1182.03</x:v>
      </x:c>
      <x:c r="I50" s="237" t="n">
        <x:v>1200</x:v>
      </x:c>
      <x:c r="J50" s="243" t="n">
        <x:v>89</x:v>
      </x:c>
      <x:c r="K50" s="143" t="n">
        <x:v>3</x:v>
      </x:c>
      <x:c r="L50" s="143" t="n">
        <x:v>4</x:v>
      </x:c>
      <x:c r="M50" s="144" t="n">
        <x:v>7</x:v>
      </x:c>
    </x:row>
    <x:row r="51" ht="21" customHeight="1">
      <x:c r="A51" s="142" t="str">
        <x:v>ORD-0041</x:v>
      </x:c>
      <x:c r="B51" s="143" t="str">
        <x:v>Zarqa|Mobile|C41017|UPG</x:v>
      </x:c>
      <x:c r="C51" s="143" t="str">
        <x:v>ACC-30354</x:v>
      </x:c>
      <x:c r="D51" s="231" t="n">
        <x:v>46175</x:v>
      </x:c>
      <x:c r="E51" s="231" t="n">
        <x:v>46178</x:v>
      </x:c>
      <x:c r="F51" s="231" t="n">
        <x:v>46179</x:v>
      </x:c>
      <x:c r="G51" s="143" t="str">
        <x:v>High</x:v>
      </x:c>
      <x:c r="H51" s="237" t="n">
        <x:v>660.04</x:v>
      </x:c>
      <x:c r="I51" s="237" t="n">
        <x:v>800</x:v>
      </x:c>
      <x:c r="J51" s="243" t="n">
        <x:v>77</x:v>
      </x:c>
      <x:c r="K51" s="143" t="n">
        <x:v>7</x:v>
      </x:c>
      <x:c r="L51" s="143" t="n">
        <x:v>24</x:v>
      </x:c>
      <x:c r="M51" s="144" t="n">
        <x:v>38</x:v>
      </x:c>
    </x:row>
    <x:row r="52" ht="21" customHeight="1">
      <x:c r="A52" s="142" t="str">
        <x:v>ORD-0042</x:v>
      </x:c>
      <x:c r="B52" s="143" t="str">
        <x:v>Balqa|Enterprise Data|C41016|REN</x:v>
      </x:c>
      <x:c r="C52" s="143" t="str">
        <x:v>ACC-94928</x:v>
      </x:c>
      <x:c r="D52" s="231" t="n">
        <x:v>46164</x:v>
      </x:c>
      <x:c r="E52" s="231" t="n">
        <x:v>46166</x:v>
      </x:c>
      <x:c r="F52" s="231" t="n">
        <x:v>46168</x:v>
      </x:c>
      <x:c r="G52" s="143" t="str">
        <x:v>High</x:v>
      </x:c>
      <x:c r="H52" s="237" t="n">
        <x:v>1362.52</x:v>
      </x:c>
      <x:c r="I52" s="237" t="n">
        <x:v>1200</x:v>
      </x:c>
      <x:c r="J52" s="243" t="n">
        <x:v>81</x:v>
      </x:c>
      <x:c r="K52" s="143" t="n">
        <x:v>6</x:v>
      </x:c>
      <x:c r="L52" s="143" t="n">
        <x:v>8</x:v>
      </x:c>
      <x:c r="M52" s="144" t="n">
        <x:v>11</x:v>
      </x:c>
    </x:row>
    <x:row r="53" ht="21" customHeight="1">
      <x:c r="A53" s="142" t="str">
        <x:v>ORD-0043</x:v>
      </x:c>
      <x:c r="B53" s="143" t="str">
        <x:v>Zarqa|Enterprise Data|C41025|UPG</x:v>
      </x:c>
      <x:c r="C53" s="143" t="str">
        <x:v>ACC-35222</x:v>
      </x:c>
      <x:c r="D53" s="231" t="n">
        <x:v>46151</x:v>
      </x:c>
      <x:c r="E53" s="231" t="n">
        <x:v>46157</x:v>
      </x:c>
      <x:c r="F53" s="231" t="n">
        <x:v>46159</x:v>
      </x:c>
      <x:c r="G53" s="143" t="str">
        <x:v>Low</x:v>
      </x:c>
      <x:c r="H53" s="237" t="n">
        <x:v>336.9</x:v>
      </x:c>
      <x:c r="I53" s="237" t="n">
        <x:v>300</x:v>
      </x:c>
      <x:c r="J53" s="243" t="n">
        <x:v>92</x:v>
      </x:c>
      <x:c r="K53" s="143" t="n">
        <x:v>3</x:v>
      </x:c>
      <x:c r="L53" s="143" t="n">
        <x:v>48</x:v>
      </x:c>
      <x:c r="M53" s="144" t="n">
        <x:v>53</x:v>
      </x:c>
    </x:row>
    <x:row r="54" ht="21" customHeight="1">
      <x:c r="A54" s="142" t="str">
        <x:v>ORD-0044</x:v>
      </x:c>
      <x:c r="B54" s="143" t="str">
        <x:v>Amman|5G Home|C41001|UPG</x:v>
      </x:c>
      <x:c r="C54" s="143" t="str">
        <x:v>ACC-32155</x:v>
      </x:c>
      <x:c r="D54" s="231" t="n">
        <x:v>46043</x:v>
      </x:c>
      <x:c r="E54" s="231" t="n">
        <x:v>46047</x:v>
      </x:c>
      <x:c r="F54" s="231" t="n">
        <x:v>46050</x:v>
      </x:c>
      <x:c r="G54" s="143" t="str">
        <x:v>Medium</x:v>
      </x:c>
      <x:c r="H54" s="237" t="n">
        <x:v>973.06</x:v>
      </x:c>
      <x:c r="I54" s="237" t="n">
        <x:v>800</x:v>
      </x:c>
      <x:c r="J54" s="243" t="n">
        <x:v>65</x:v>
      </x:c>
      <x:c r="K54" s="143" t="n">
        <x:v>9</x:v>
      </x:c>
      <x:c r="L54" s="143" t="n">
        <x:v>24</x:v>
      </x:c>
      <x:c r="M54" s="144" t="n">
        <x:v>39</x:v>
      </x:c>
    </x:row>
    <x:row r="55" ht="21" customHeight="1">
      <x:c r="A55" s="142" t="str">
        <x:v>ORD-0045</x:v>
      </x:c>
      <x:c r="B55" s="143" t="str">
        <x:v>Aqaba|Mobile|C41010|REN</x:v>
      </x:c>
      <x:c r="C55" s="143" t="str">
        <x:v>ACC-25624</x:v>
      </x:c>
      <x:c r="D55" s="231" t="n">
        <x:v>46214</x:v>
      </x:c>
      <x:c r="E55" s="231" t="n">
        <x:v>46219</x:v>
      </x:c>
      <x:c r="F55" s="231" t="n">
        <x:v>46218</x:v>
      </x:c>
      <x:c r="G55" s="143" t="str">
        <x:v>Medium</x:v>
      </x:c>
      <x:c r="H55" s="237" t="n">
        <x:v>334.25</x:v>
      </x:c>
      <x:c r="I55" s="237" t="n">
        <x:v>300</x:v>
      </x:c>
      <x:c r="J55" s="243" t="n">
        <x:v>85</x:v>
      </x:c>
      <x:c r="K55" s="143" t="n">
        <x:v>1</x:v>
      </x:c>
      <x:c r="L55" s="143" t="n">
        <x:v>48</x:v>
      </x:c>
      <x:c r="M55" s="144" t="n">
        <x:v>28</x:v>
      </x:c>
    </x:row>
    <x:row r="56" ht="21" customHeight="1">
      <x:c r="A56" s="142" t="str">
        <x:v>ORD-0046</x:v>
      </x:c>
      <x:c r="B56" s="143" t="str">
        <x:v>Amman|Enterprise Data|C41039|REN</x:v>
      </x:c>
      <x:c r="C56" s="143" t="str">
        <x:v>ACC-31412</x:v>
      </x:c>
      <x:c r="D56" s="231" t="n">
        <x:v>46039</x:v>
      </x:c>
      <x:c r="E56" s="231" t="n">
        <x:v>46043</x:v>
      </x:c>
      <x:c r="F56" s="231" t="n">
        <x:v>46045</x:v>
      </x:c>
      <x:c r="G56" s="143" t="str">
        <x:v>High</x:v>
      </x:c>
      <x:c r="H56" s="237" t="n">
        <x:v>611.82</x:v>
      </x:c>
      <x:c r="I56" s="237" t="n">
        <x:v>800</x:v>
      </x:c>
      <x:c r="J56" s="243" t="n">
        <x:v>99</x:v>
      </x:c>
      <x:c r="K56" s="143" t="n">
        <x:v>0</x:v>
      </x:c>
      <x:c r="L56" s="143" t="n">
        <x:v>12</x:v>
      </x:c>
      <x:c r="M56" s="144" t="n">
        <x:v>30</x:v>
      </x:c>
    </x:row>
    <x:row r="57" ht="21" customHeight="1">
      <x:c r="A57" s="142" t="str">
        <x:v>ORD-0047</x:v>
      </x:c>
      <x:c r="B57" s="143" t="str">
        <x:v>Amman|5G Home|C41005|UPG</x:v>
      </x:c>
      <x:c r="C57" s="143" t="str">
        <x:v>ACC-63484</x:v>
      </x:c>
      <x:c r="D57" s="231" t="n">
        <x:v>46080</x:v>
      </x:c>
      <x:c r="E57" s="231" t="n">
        <x:v>46088</x:v>
      </x:c>
      <x:c r="F57" s="231" t="n">
        <x:v>46091</x:v>
      </x:c>
      <x:c r="G57" s="143" t="str">
        <x:v>Low</x:v>
      </x:c>
      <x:c r="H57" s="237" t="n">
        <x:v>1143.17</x:v>
      </x:c>
      <x:c r="I57" s="237" t="n">
        <x:v>1200</x:v>
      </x:c>
      <x:c r="J57" s="243" t="n">
        <x:v>69</x:v>
      </x:c>
      <x:c r="K57" s="143" t="n">
        <x:v>10</x:v>
      </x:c>
      <x:c r="L57" s="143" t="n">
        <x:v>48</x:v>
      </x:c>
      <x:c r="M57" s="144" t="n">
        <x:v>39</x:v>
      </x:c>
    </x:row>
    <x:row r="58" ht="21" customHeight="1">
      <x:c r="A58" s="142" t="str">
        <x:v>ORD-0048</x:v>
      </x:c>
      <x:c r="B58" s="143" t="str">
        <x:v>Amman|Mobile|C41012|MIG</x:v>
      </x:c>
      <x:c r="C58" s="143" t="n">
        <x:v>10886</x:v>
      </x:c>
      <x:c r="D58" s="231" t="n">
        <x:v>46112</x:v>
      </x:c>
      <x:c r="E58" s="231" t="n">
        <x:v>46117</x:v>
      </x:c>
      <x:c r="F58" s="231" t="n">
        <x:v>46120</x:v>
      </x:c>
      <x:c r="G58" s="143" t="str">
        <x:v>Medium</x:v>
      </x:c>
      <x:c r="H58" s="237" t="n">
        <x:v>973.9</x:v>
      </x:c>
      <x:c r="I58" s="237" t="n">
        <x:v>1200</x:v>
      </x:c>
      <x:c r="J58" s="243" t="n">
        <x:v>92</x:v>
      </x:c>
      <x:c r="K58" s="143" t="n">
        <x:v>7</x:v>
      </x:c>
      <x:c r="L58" s="143" t="n">
        <x:v>4</x:v>
      </x:c>
      <x:c r="M58" s="144" t="n">
        <x:v>22</x:v>
      </x:c>
    </x:row>
    <x:row r="59" ht="21" customHeight="1">
      <x:c r="A59" s="142" t="str">
        <x:v>ORD-0049</x:v>
      </x:c>
      <x:c r="B59" s="143" t="str">
        <x:v>Amman|5G Home|C41005|MIG</x:v>
      </x:c>
      <x:c r="C59" s="143" t="str">
        <x:v>ACC-70622</x:v>
      </x:c>
      <x:c r="D59" s="231" t="n">
        <x:v>46243</x:v>
      </x:c>
      <x:c r="E59" s="231" t="n">
        <x:v>46249</x:v>
      </x:c>
      <x:c r="F59" s="231" t="n">
        <x:v>46251</x:v>
      </x:c>
      <x:c r="G59" s="143" t="str">
        <x:v>Medium</x:v>
      </x:c>
      <x:c r="H59" s="237" t="n">
        <x:v>1736.99</x:v>
      </x:c>
      <x:c r="I59" s="237" t="n">
        <x:v>1500</x:v>
      </x:c>
      <x:c r="J59" s="243" t="n">
        <x:v>72</x:v>
      </x:c>
      <x:c r="K59" s="143" t="n">
        <x:v>6</x:v>
      </x:c>
      <x:c r="L59" s="143" t="n">
        <x:v>8</x:v>
      </x:c>
      <x:c r="M59" s="144" t="n">
        <x:v>7</x:v>
      </x:c>
    </x:row>
    <x:row r="60" ht="21" customHeight="1">
      <x:c r="A60" s="142" t="str">
        <x:v>ORD-0050</x:v>
      </x:c>
      <x:c r="B60" s="143" t="str">
        <x:v>Balqa|5G Home|C41019|UPG</x:v>
      </x:c>
      <x:c r="C60" s="143" t="str">
        <x:v>ACC-34029</x:v>
      </x:c>
      <x:c r="D60" s="231" t="n">
        <x:v>46154</x:v>
      </x:c>
      <x:c r="E60" s="231" t="n">
        <x:v>46156</x:v>
      </x:c>
      <x:c r="F60" s="231" t="n">
        <x:v>46156</x:v>
      </x:c>
      <x:c r="G60" s="143" t="str">
        <x:v>High</x:v>
      </x:c>
      <x:c r="H60" s="237" t="n">
        <x:v>468.99</x:v>
      </x:c>
      <x:c r="I60" s="237" t="n">
        <x:v>450</x:v>
      </x:c>
      <x:c r="J60" s="243" t="n">
        <x:v>72</x:v>
      </x:c>
      <x:c r="K60" s="143" t="n">
        <x:v>10</x:v>
      </x:c>
      <x:c r="L60" s="143" t="n">
        <x:v>8</x:v>
      </x:c>
      <x:c r="M60" s="144" t="n">
        <x:v>9</x:v>
      </x:c>
    </x:row>
    <x:row r="61" ht="21" customHeight="1">
      <x:c r="A61" s="142" t="str">
        <x:v>ORD-0051</x:v>
      </x:c>
      <x:c r="B61" s="143" t="str">
        <x:v>Aqaba|Mobile|C41010|MIG</x:v>
      </x:c>
      <x:c r="C61" s="143" t="str">
        <x:v>ACC-14189</x:v>
      </x:c>
      <x:c r="D61" s="231" t="n">
        <x:v>46164</x:v>
      </x:c>
      <x:c r="E61" s="231" t="n">
        <x:v>46169</x:v>
      </x:c>
      <x:c r="F61" s="231" t="n">
        <x:v>46171</x:v>
      </x:c>
      <x:c r="G61" s="143" t="str">
        <x:v>Medium</x:v>
      </x:c>
      <x:c r="H61" s="237" t="n">
        <x:v>381.52</x:v>
      </x:c>
      <x:c r="I61" s="237" t="n">
        <x:v>450</x:v>
      </x:c>
      <x:c r="J61" s="243" t="n">
        <x:v>74</x:v>
      </x:c>
      <x:c r="K61" s="143" t="n">
        <x:v>2</x:v>
      </x:c>
      <x:c r="L61" s="143" t="n">
        <x:v>8</x:v>
      </x:c>
      <x:c r="M61" s="144" t="n">
        <x:v>28</x:v>
      </x:c>
    </x:row>
    <x:row r="62" ht="21" customHeight="1">
      <x:c r="A62" s="142" t="str">
        <x:v>ORD-0052</x:v>
      </x:c>
      <x:c r="B62" s="143" t="str">
        <x:v>Aqaba|5G Home|C41013|ACT</x:v>
      </x:c>
      <x:c r="C62" s="143" t="str">
        <x:v>ACC-53360</x:v>
      </x:c>
      <x:c r="D62" s="231" t="n">
        <x:v>46248</x:v>
      </x:c>
      <x:c r="E62" s="231" t="n">
        <x:v>46254</x:v>
      </x:c>
      <x:c r="F62" s="231" t="n">
        <x:v>46258</x:v>
      </x:c>
      <x:c r="G62" s="143" t="str">
        <x:v>Medium</x:v>
      </x:c>
      <x:c r="H62" s="237" t="n">
        <x:v>422.41</x:v>
      </x:c>
      <x:c r="I62" s="237" t="n">
        <x:v>450</x:v>
      </x:c>
      <x:c r="J62" s="243" t="n">
        <x:v>92</x:v>
      </x:c>
      <x:c r="K62" s="143" t="n">
        <x:v>6</x:v>
      </x:c>
      <x:c r="L62" s="143" t="n">
        <x:v>24</x:v>
      </x:c>
      <x:c r="M62" s="144" t="n">
        <x:v>20</x:v>
      </x:c>
    </x:row>
    <x:row r="63" ht="21" customHeight="1">
      <x:c r="A63" s="142" t="str">
        <x:v>ORD-0053</x:v>
      </x:c>
      <x:c r="B63" s="143" t="str">
        <x:v>Amman|Enterprise Data|C41039|ACT</x:v>
      </x:c>
      <x:c r="C63" s="143" t="str">
        <x:v>ACC-99157</x:v>
      </x:c>
      <x:c r="D63" s="231" t="n">
        <x:v>46066</x:v>
      </x:c>
      <x:c r="E63" s="231" t="n">
        <x:v>46074</x:v>
      </x:c>
      <x:c r="F63" s="231" t="n">
        <x:v>46075</x:v>
      </x:c>
      <x:c r="G63" s="143" t="str">
        <x:v>Low</x:v>
      </x:c>
      <x:c r="H63" s="237" t="n">
        <x:v>218.42</x:v>
      </x:c>
      <x:c r="I63" s="237" t="n">
        <x:v>300</x:v>
      </x:c>
      <x:c r="J63" s="243" t="n">
        <x:v>71</x:v>
      </x:c>
      <x:c r="K63" s="143" t="n">
        <x:v>7</x:v>
      </x:c>
      <x:c r="L63" s="143" t="n">
        <x:v>12</x:v>
      </x:c>
      <x:c r="M63" s="144" t="n">
        <x:v>20</x:v>
      </x:c>
    </x:row>
    <x:row r="64" ht="21" customHeight="1">
      <x:c r="A64" s="142" t="str">
        <x:v>ORD-0054</x:v>
      </x:c>
      <x:c r="B64" s="143" t="str">
        <x:v>Aqaba|5G Home|C41027|ACT</x:v>
      </x:c>
      <x:c r="C64" s="143" t="str">
        <x:v>ACC-35073</x:v>
      </x:c>
      <x:c r="D64" s="231" t="n">
        <x:v>46213</x:v>
      </x:c>
      <x:c r="E64" s="231" t="n">
        <x:v>46219</x:v>
      </x:c>
      <x:c r="F64" s="231" t="n">
        <x:v>46222</x:v>
      </x:c>
      <x:c r="G64" s="143" t="str">
        <x:v>Medium</x:v>
      </x:c>
      <x:c r="H64" s="237" t="n">
        <x:v>237.16</x:v>
      </x:c>
      <x:c r="I64" s="237" t="n">
        <x:v>300</x:v>
      </x:c>
      <x:c r="J64" s="243" t="n">
        <x:v>63</x:v>
      </x:c>
      <x:c r="K64" s="143" t="n">
        <x:v>3</x:v>
      </x:c>
      <x:c r="L64" s="143" t="n">
        <x:v>24</x:v>
      </x:c>
      <x:c r="M64" s="144" t="n">
        <x:v>28</x:v>
      </x:c>
    </x:row>
    <x:row r="65" ht="21" customHeight="1">
      <x:c r="A65" s="142" t="str">
        <x:v>ORD-0055</x:v>
      </x:c>
      <x:c r="B65" s="143" t="str">
        <x:v>Amman|Enterprise Data|C41040|ACT</x:v>
      </x:c>
      <x:c r="C65" s="143" t="str">
        <x:v>ACC-36776</x:v>
      </x:c>
      <x:c r="D65" s="231" t="n">
        <x:v>46238</x:v>
      </x:c>
      <x:c r="E65" s="231" t="n">
        <x:v>46241</x:v>
      </x:c>
      <x:c r="F65" s="231" t="n">
        <x:v>46241</x:v>
      </x:c>
      <x:c r="G65" s="143" t="str">
        <x:v>High</x:v>
      </x:c>
      <x:c r="H65" s="237" t="n">
        <x:v>701.67</x:v>
      </x:c>
      <x:c r="I65" s="237" t="n">
        <x:v>600</x:v>
      </x:c>
      <x:c r="J65" s="243" t="n">
        <x:v>84</x:v>
      </x:c>
      <x:c r="K65" s="143" t="n">
        <x:v>7</x:v>
      </x:c>
      <x:c r="L65" s="143" t="n">
        <x:v>48</x:v>
      </x:c>
      <x:c r="M65" s="144" t="n">
        <x:v>47</x:v>
      </x:c>
    </x:row>
    <x:row r="66" ht="21" customHeight="1">
      <x:c r="A66" s="142" t="str">
        <x:v>ORD-0056</x:v>
      </x:c>
      <x:c r="B66" s="143" t="str">
        <x:v>Amman|5G Home|C41020|UPG</x:v>
      </x:c>
      <x:c r="C66" s="143" t="n">
        <x:v>83304</x:v>
      </x:c>
      <x:c r="D66" s="231" t="n">
        <x:v>46164</x:v>
      </x:c>
      <x:c r="E66" s="231" t="n">
        <x:v>46168</x:v>
      </x:c>
      <x:c r="F66" s="231" t="n">
        <x:v>46170</x:v>
      </x:c>
      <x:c r="G66" s="143" t="str">
        <x:v>Medium</x:v>
      </x:c>
      <x:c r="H66" s="237" t="n">
        <x:v>785.66</x:v>
      </x:c>
      <x:c r="I66" s="237" t="n">
        <x:v>800</x:v>
      </x:c>
      <x:c r="J66" s="243" t="n">
        <x:v>85</x:v>
      </x:c>
      <x:c r="K66" s="143" t="n">
        <x:v>4</x:v>
      </x:c>
      <x:c r="L66" s="143" t="n">
        <x:v>8</x:v>
      </x:c>
      <x:c r="M66" s="144" t="n">
        <x:v>31</x:v>
      </x:c>
    </x:row>
    <x:row r="67" ht="21" customHeight="1">
      <x:c r="A67" s="142" t="str">
        <x:v>ORD-0057</x:v>
      </x:c>
      <x:c r="B67" s="143" t="str">
        <x:v>Irbid|Fiber|C41004|REN</x:v>
      </x:c>
      <x:c r="C67" s="143" t="str">
        <x:v>ACC-28850</x:v>
      </x:c>
      <x:c r="D67" s="231" t="n">
        <x:v>46050</x:v>
      </x:c>
      <x:c r="E67" s="231" t="n">
        <x:v>46055</x:v>
      </x:c>
      <x:c r="F67" s="231" t="n">
        <x:v>46056</x:v>
      </x:c>
      <x:c r="G67" s="143" t="str">
        <x:v>Medium</x:v>
      </x:c>
      <x:c r="H67" s="237" t="n">
        <x:v>1170.52</x:v>
      </x:c>
      <x:c r="I67" s="237" t="n">
        <x:v>1000</x:v>
      </x:c>
      <x:c r="J67" s="243" t="n">
        <x:v>65</x:v>
      </x:c>
      <x:c r="K67" s="143" t="n">
        <x:v>8</x:v>
      </x:c>
      <x:c r="L67" s="143" t="n">
        <x:v>4</x:v>
      </x:c>
      <x:c r="M67" s="144" t="n">
        <x:v>2</x:v>
      </x:c>
    </x:row>
    <x:row r="68" ht="21" customHeight="1">
      <x:c r="A68" s="142" t="str">
        <x:v>ORD-0058</x:v>
      </x:c>
      <x:c r="B68" s="143" t="str">
        <x:v>Aqaba|5G Home|C41026|ACT</x:v>
      </x:c>
      <x:c r="C68" s="143" t="str">
        <x:v>ACC-36945</x:v>
      </x:c>
      <x:c r="D68" s="231" t="n">
        <x:v>46108</x:v>
      </x:c>
      <x:c r="E68" s="231" t="n">
        <x:v>46112</x:v>
      </x:c>
      <x:c r="F68" s="231" t="n">
        <x:v>46116</x:v>
      </x:c>
      <x:c r="G68" s="143" t="str">
        <x:v>Medium</x:v>
      </x:c>
      <x:c r="H68" s="237" t="n">
        <x:v>339.1</x:v>
      </x:c>
      <x:c r="I68" s="237" t="n">
        <x:v>300</x:v>
      </x:c>
      <x:c r="J68" s="243" t="n">
        <x:v>66</x:v>
      </x:c>
      <x:c r="K68" s="143" t="n">
        <x:v>8</x:v>
      </x:c>
      <x:c r="L68" s="143" t="n">
        <x:v>8</x:v>
      </x:c>
      <x:c r="M68" s="144" t="n">
        <x:v>27</x:v>
      </x:c>
    </x:row>
    <x:row r="69" ht="21" customHeight="1">
      <x:c r="A69" s="142" t="str">
        <x:v>ORD-0059</x:v>
      </x:c>
      <x:c r="B69" s="143" t="str">
        <x:v>Amman|5G Home|C41005|REN</x:v>
      </x:c>
      <x:c r="C69" s="143" t="str">
        <x:v>ACC-46290</x:v>
      </x:c>
      <x:c r="D69" s="231" t="n">
        <x:v>46209</x:v>
      </x:c>
      <x:c r="E69" s="231" t="n">
        <x:v>46215</x:v>
      </x:c>
      <x:c r="F69" s="231" t="n">
        <x:v>46218</x:v>
      </x:c>
      <x:c r="G69" s="143" t="str">
        <x:v>Low</x:v>
      </x:c>
      <x:c r="H69" s="237" t="n">
        <x:v>635.63</x:v>
      </x:c>
      <x:c r="I69" s="237" t="n">
        <x:v>600</x:v>
      </x:c>
      <x:c r="J69" s="243" t="n">
        <x:v>87</x:v>
      </x:c>
      <x:c r="K69" s="143" t="n">
        <x:v>5</x:v>
      </x:c>
      <x:c r="L69" s="143" t="n">
        <x:v>8</x:v>
      </x:c>
      <x:c r="M69" s="144" t="n">
        <x:v>29</x:v>
      </x:c>
    </x:row>
    <x:row r="70" ht="21" customHeight="1">
      <x:c r="A70" s="142" t="str">
        <x:v>ORD-0060</x:v>
      </x:c>
      <x:c r="B70" s="143" t="str">
        <x:v>Balqa|5G Home|C41033|ACT</x:v>
      </x:c>
      <x:c r="C70" s="143" t="str">
        <x:v>ACC-73918</x:v>
      </x:c>
      <x:c r="D70" s="231" t="n">
        <x:v>46080</x:v>
      </x:c>
      <x:c r="E70" s="231" t="n">
        <x:v>46084</x:v>
      </x:c>
      <x:c r="F70" s="231" t="n">
        <x:v>46086</x:v>
      </x:c>
      <x:c r="G70" s="143" t="str">
        <x:v>Medium</x:v>
      </x:c>
      <x:c r="H70" s="237" t="n">
        <x:v>650.57</x:v>
      </x:c>
      <x:c r="I70" s="237" t="n">
        <x:v>600</x:v>
      </x:c>
      <x:c r="J70" s="243" t="n">
        <x:v>82</x:v>
      </x:c>
      <x:c r="K70" s="143" t="n">
        <x:v>7</x:v>
      </x:c>
      <x:c r="L70" s="143" t="n">
        <x:v>12</x:v>
      </x:c>
      <x:c r="M70" s="144" t="n">
        <x:v>24</x:v>
      </x:c>
    </x:row>
    <x:row r="71" ht="21" customHeight="1">
      <x:c r="A71" s="142" t="str">
        <x:v>ORD-0061</x:v>
      </x:c>
      <x:c r="B71" s="143" t="str">
        <x:v>Aqaba|Mobile|C41010|UPG</x:v>
      </x:c>
      <x:c r="C71" s="143" t="n">
        <x:v>30447</x:v>
      </x:c>
      <x:c r="D71" s="231" t="n">
        <x:v>46133</x:v>
      </x:c>
      <x:c r="E71" s="231" t="n">
        <x:v>46141</x:v>
      </x:c>
      <x:c r="F71" s="231" t="n">
        <x:v>46143</x:v>
      </x:c>
      <x:c r="G71" s="143" t="str">
        <x:v>Low</x:v>
      </x:c>
      <x:c r="H71" s="237" t="n">
        <x:v>1311.3</x:v>
      </x:c>
      <x:c r="I71" s="237" t="n">
        <x:v>1200</x:v>
      </x:c>
      <x:c r="J71" s="243" t="n">
        <x:v>87</x:v>
      </x:c>
      <x:c r="K71" s="143" t="n">
        <x:v>4</x:v>
      </x:c>
      <x:c r="L71" s="143" t="n">
        <x:v>24</x:v>
      </x:c>
      <x:c r="M71" s="144" t="n">
        <x:v>34</x:v>
      </x:c>
    </x:row>
    <x:row r="72" ht="21" customHeight="1">
      <x:c r="A72" s="142" t="str">
        <x:v>ORD-0062</x:v>
      </x:c>
      <x:c r="B72" s="143" t="str">
        <x:v>Aqaba|Enterprise Data|C41018|MIG</x:v>
      </x:c>
      <x:c r="C72" s="143" t="str">
        <x:v>ACC-46950</x:v>
      </x:c>
      <x:c r="D72" s="231" t="n">
        <x:v>46233</x:v>
      </x:c>
      <x:c r="E72" s="231" t="n">
        <x:v>46239</x:v>
      </x:c>
      <x:c r="F72" s="231" t="n">
        <x:v>46240</x:v>
      </x:c>
      <x:c r="G72" s="143" t="str">
        <x:v>Medium</x:v>
      </x:c>
      <x:c r="H72" s="237" t="n">
        <x:v>1235.1</x:v>
      </x:c>
      <x:c r="I72" s="237" t="n">
        <x:v>1000</x:v>
      </x:c>
      <x:c r="J72" s="243" t="n">
        <x:v>86</x:v>
      </x:c>
      <x:c r="K72" s="143" t="n">
        <x:v>0</x:v>
      </x:c>
      <x:c r="L72" s="143" t="n">
        <x:v>12</x:v>
      </x:c>
      <x:c r="M72" s="144" t="n">
        <x:v>35</x:v>
      </x:c>
    </x:row>
    <x:row r="73" ht="21" customHeight="1">
      <x:c r="A73" s="142" t="str">
        <x:v>ORD-0063</x:v>
      </x:c>
      <x:c r="B73" s="143" t="str">
        <x:v>Amman|5G Home|C41030|ACT</x:v>
      </x:c>
      <x:c r="C73" s="143" t="str">
        <x:v>ACC-17050</x:v>
      </x:c>
      <x:c r="D73" s="231" t="n">
        <x:v>46127</x:v>
      </x:c>
      <x:c r="E73" s="231" t="n">
        <x:v>46133</x:v>
      </x:c>
      <x:c r="F73" s="231" t="n">
        <x:v>46133</x:v>
      </x:c>
      <x:c r="G73" s="143" t="str">
        <x:v>Low</x:v>
      </x:c>
      <x:c r="H73" s="237" t="n">
        <x:v>1135.45</x:v>
      </x:c>
      <x:c r="I73" s="237" t="n">
        <x:v>1000</x:v>
      </x:c>
      <x:c r="J73" s="243" t="n">
        <x:v>96</x:v>
      </x:c>
      <x:c r="K73" s="143" t="n">
        <x:v>8</x:v>
      </x:c>
      <x:c r="L73" s="143" t="n">
        <x:v>4</x:v>
      </x:c>
      <x:c r="M73" s="144" t="n">
        <x:v>17</x:v>
      </x:c>
    </x:row>
    <x:row r="74" ht="21" customHeight="1">
      <x:c r="A74" s="142" t="str">
        <x:v>ORD-0064</x:v>
      </x:c>
      <x:c r="B74" s="143" t="str">
        <x:v>Balqa|Enterprise Data|C41037|UPG</x:v>
      </x:c>
      <x:c r="C74" s="143" t="n">
        <x:v>16910</x:v>
      </x:c>
      <x:c r="D74" s="231" t="n">
        <x:v>46050</x:v>
      </x:c>
      <x:c r="E74" s="231" t="n">
        <x:v>46057</x:v>
      </x:c>
      <x:c r="F74" s="231" t="n">
        <x:v>46060</x:v>
      </x:c>
      <x:c r="G74" s="143" t="str">
        <x:v>Low</x:v>
      </x:c>
      <x:c r="H74" s="237" t="n">
        <x:v>782.45</x:v>
      </x:c>
      <x:c r="I74" s="237" t="n">
        <x:v>800</x:v>
      </x:c>
      <x:c r="J74" s="243" t="n">
        <x:v>63</x:v>
      </x:c>
      <x:c r="K74" s="143" t="n">
        <x:v>1</x:v>
      </x:c>
      <x:c r="L74" s="143" t="n">
        <x:v>4</x:v>
      </x:c>
      <x:c r="M74" s="144" t="n">
        <x:v>13</x:v>
      </x:c>
    </x:row>
    <x:row r="75" ht="21" customHeight="1">
      <x:c r="A75" s="142" t="str">
        <x:v>ORD-0065</x:v>
      </x:c>
      <x:c r="B75" s="143" t="str">
        <x:v>Irbid|Mobile|C41008|REN</x:v>
      </x:c>
      <x:c r="C75" s="143" t="str">
        <x:v>ACC-50885</x:v>
      </x:c>
      <x:c r="D75" s="231" t="n">
        <x:v>46096</x:v>
      </x:c>
      <x:c r="E75" s="231" t="n">
        <x:v>46103</x:v>
      </x:c>
      <x:c r="F75" s="231" t="n">
        <x:v>46107</x:v>
      </x:c>
      <x:c r="G75" s="143" t="str">
        <x:v>Low</x:v>
      </x:c>
      <x:c r="H75" s="237" t="n">
        <x:v>761.83</x:v>
      </x:c>
      <x:c r="I75" s="237" t="n">
        <x:v>600</x:v>
      </x:c>
      <x:c r="J75" s="243" t="n">
        <x:v>71</x:v>
      </x:c>
      <x:c r="K75" s="143" t="n">
        <x:v>3</x:v>
      </x:c>
      <x:c r="L75" s="143" t="n">
        <x:v>12</x:v>
      </x:c>
      <x:c r="M75" s="144" t="n">
        <x:v>24</x:v>
      </x:c>
    </x:row>
    <x:row r="76" ht="21" customHeight="1">
      <x:c r="A76" s="142" t="str">
        <x:v>ORD-0066</x:v>
      </x:c>
      <x:c r="B76" s="143" t="str">
        <x:v>Amman|Enterprise Data|C41039|REN</x:v>
      </x:c>
      <x:c r="C76" s="143" t="str">
        <x:v>ACC-20158</x:v>
      </x:c>
      <x:c r="D76" s="231" t="n">
        <x:v>46107</x:v>
      </x:c>
      <x:c r="E76" s="231" t="n">
        <x:v>46115</x:v>
      </x:c>
      <x:c r="F76" s="231" t="n">
        <x:v>46118</x:v>
      </x:c>
      <x:c r="G76" s="143" t="str">
        <x:v>Low</x:v>
      </x:c>
      <x:c r="H76" s="237" t="n">
        <x:v>853.86</x:v>
      </x:c>
      <x:c r="I76" s="237" t="n">
        <x:v>800</x:v>
      </x:c>
      <x:c r="J76" s="243" t="n">
        <x:v>94</x:v>
      </x:c>
      <x:c r="K76" s="143" t="n">
        <x:v>7</x:v>
      </x:c>
      <x:c r="L76" s="143" t="n">
        <x:v>12</x:v>
      </x:c>
      <x:c r="M76" s="144" t="n">
        <x:v>5</x:v>
      </x:c>
    </x:row>
    <x:row r="77" ht="21" customHeight="1">
      <x:c r="A77" s="142" t="str">
        <x:v>ORD-0067</x:v>
      </x:c>
      <x:c r="B77" s="143" t="str">
        <x:v>Amman|Mobile|C41032|MIG</x:v>
      </x:c>
      <x:c r="C77" s="143" t="str">
        <x:v>ACC-63523</x:v>
      </x:c>
      <x:c r="D77" s="231" t="n">
        <x:v>46139</x:v>
      </x:c>
      <x:c r="E77" s="231" t="n">
        <x:v>46143</x:v>
      </x:c>
      <x:c r="F77" s="231" t="n">
        <x:v>46147</x:v>
      </x:c>
      <x:c r="G77" s="143" t="str">
        <x:v>Medium</x:v>
      </x:c>
      <x:c r="H77" s="237" t="n">
        <x:v>830.21</x:v>
      </x:c>
      <x:c r="I77" s="237" t="n">
        <x:v>800</x:v>
      </x:c>
      <x:c r="J77" s="243" t="n">
        <x:v>76</x:v>
      </x:c>
      <x:c r="K77" s="143" t="n">
        <x:v>4</x:v>
      </x:c>
      <x:c r="L77" s="143" t="n">
        <x:v>24</x:v>
      </x:c>
      <x:c r="M77" s="144" t="n">
        <x:v>8</x:v>
      </x:c>
    </x:row>
    <x:row r="78" ht="21" customHeight="1">
      <x:c r="A78" s="142" t="str">
        <x:v>ORD-0068</x:v>
      </x:c>
      <x:c r="B78" s="143" t="str">
        <x:v>Irbid|Enterprise Data|C41014|REN</x:v>
      </x:c>
      <x:c r="C78" s="143" t="str">
        <x:v>ACC-58207</x:v>
      </x:c>
      <x:c r="D78" s="231" t="n">
        <x:v>46089</x:v>
      </x:c>
      <x:c r="E78" s="231" t="n">
        <x:v>46097</x:v>
      </x:c>
      <x:c r="F78" s="231" t="n">
        <x:v>46098</x:v>
      </x:c>
      <x:c r="G78" s="143" t="str">
        <x:v>Low</x:v>
      </x:c>
      <x:c r="H78" s="237" t="n">
        <x:v>1443.15</x:v>
      </x:c>
      <x:c r="I78" s="237" t="n">
        <x:v>1200</x:v>
      </x:c>
      <x:c r="J78" s="243" t="n">
        <x:v>91</x:v>
      </x:c>
      <x:c r="K78" s="143" t="n">
        <x:v>6</x:v>
      </x:c>
      <x:c r="L78" s="143" t="n">
        <x:v>12</x:v>
      </x:c>
      <x:c r="M78" s="144" t="n">
        <x:v>24</x:v>
      </x:c>
    </x:row>
    <x:row r="79" ht="21" customHeight="1">
      <x:c r="A79" s="142" t="str">
        <x:v>ORD-0069</x:v>
      </x:c>
      <x:c r="B79" s="143" t="str">
        <x:v>Aqaba|5G Home|C41027|ACT</x:v>
      </x:c>
      <x:c r="C79" s="143" t="str">
        <x:v>ACC-99033</x:v>
      </x:c>
      <x:c r="D79" s="231" t="n">
        <x:v>46114</x:v>
      </x:c>
      <x:c r="E79" s="231" t="n">
        <x:v>46121</x:v>
      </x:c>
      <x:c r="F79" s="231" t="n">
        <x:v>46124</x:v>
      </x:c>
      <x:c r="G79" s="143" t="str">
        <x:v>Low</x:v>
      </x:c>
      <x:c r="H79" s="237" t="n">
        <x:v>296.75</x:v>
      </x:c>
      <x:c r="I79" s="237" t="n">
        <x:v>300</x:v>
      </x:c>
      <x:c r="J79" s="243" t="n">
        <x:v>97</x:v>
      </x:c>
      <x:c r="K79" s="143" t="n">
        <x:v>9</x:v>
      </x:c>
      <x:c r="L79" s="143" t="n">
        <x:v>4</x:v>
      </x:c>
      <x:c r="M79" s="144" t="n">
        <x:v>27</x:v>
      </x:c>
    </x:row>
    <x:row r="80" ht="21" customHeight="1">
      <x:c r="A80" s="142" t="str">
        <x:v>ORD-0070</x:v>
      </x:c>
      <x:c r="B80" s="143" t="str">
        <x:v>Irbid|Mobile|C41008|UPG</x:v>
      </x:c>
      <x:c r="C80" s="143" t="str">
        <x:v>ACC-63720</x:v>
      </x:c>
      <x:c r="D80" s="231" t="n">
        <x:v>46211</x:v>
      </x:c>
      <x:c r="E80" s="231" t="n">
        <x:v>46214</x:v>
      </x:c>
      <x:c r="F80" s="231" t="n">
        <x:v>46215</x:v>
      </x:c>
      <x:c r="G80" s="143" t="str">
        <x:v>High</x:v>
      </x:c>
      <x:c r="H80" s="237" t="n">
        <x:v>1029.57</x:v>
      </x:c>
      <x:c r="I80" s="237" t="n">
        <x:v>1200</x:v>
      </x:c>
      <x:c r="J80" s="243" t="n">
        <x:v>86</x:v>
      </x:c>
      <x:c r="K80" s="143" t="n">
        <x:v>6</x:v>
      </x:c>
      <x:c r="L80" s="143" t="n">
        <x:v>48</x:v>
      </x:c>
      <x:c r="M80" s="144" t="n">
        <x:v>7</x:v>
      </x:c>
    </x:row>
    <x:row r="81" ht="21" customHeight="1">
      <x:c r="A81" s="142" t="str">
        <x:v>ORD-0071</x:v>
      </x:c>
      <x:c r="B81" s="143" t="str">
        <x:v>Aqaba|5G Home|C41026|ACT</x:v>
      </x:c>
      <x:c r="C81" s="143" t="str">
        <x:v>ACC-76786</x:v>
      </x:c>
      <x:c r="D81" s="231" t="n">
        <x:v>46150</x:v>
      </x:c>
      <x:c r="E81" s="231" t="n">
        <x:v>46156</x:v>
      </x:c>
      <x:c r="F81" s="231" t="n">
        <x:v>46159</x:v>
      </x:c>
      <x:c r="G81" s="143" t="str">
        <x:v>Medium</x:v>
      </x:c>
      <x:c r="H81" s="237" t="n">
        <x:v>463.78</x:v>
      </x:c>
      <x:c r="I81" s="237" t="n">
        <x:v>600</x:v>
      </x:c>
      <x:c r="J81" s="243" t="n">
        <x:v>70</x:v>
      </x:c>
      <x:c r="K81" s="143" t="n">
        <x:v>8</x:v>
      </x:c>
      <x:c r="L81" s="143" t="n">
        <x:v>48</x:v>
      </x:c>
      <x:c r="M81" s="144" t="n">
        <x:v>49</x:v>
      </x:c>
    </x:row>
    <x:row r="82" ht="21" customHeight="1">
      <x:c r="A82" s="142" t="str">
        <x:v>ORD-0072</x:v>
      </x:c>
      <x:c r="B82" s="143" t="str">
        <x:v>Aqaba|Fiber|C41011|UPG</x:v>
      </x:c>
      <x:c r="C82" s="143" t="n">
        <x:v>42954</x:v>
      </x:c>
      <x:c r="D82" s="231" t="n">
        <x:v>46203</x:v>
      </x:c>
      <x:c r="E82" s="231" t="n">
        <x:v>46209</x:v>
      </x:c>
      <x:c r="F82" s="231" t="n">
        <x:v>46208</x:v>
      </x:c>
      <x:c r="G82" s="143" t="str">
        <x:v>Medium</x:v>
      </x:c>
      <x:c r="H82" s="237" t="n">
        <x:v>1472.17</x:v>
      </x:c>
      <x:c r="I82" s="237" t="n">
        <x:v>1200</x:v>
      </x:c>
      <x:c r="J82" s="243" t="n">
        <x:v>80</x:v>
      </x:c>
      <x:c r="K82" s="143" t="n">
        <x:v>6</x:v>
      </x:c>
      <x:c r="L82" s="143" t="n">
        <x:v>12</x:v>
      </x:c>
      <x:c r="M82" s="144" t="n">
        <x:v>25</x:v>
      </x:c>
    </x:row>
    <x:row r="83" ht="21" customHeight="1">
      <x:c r="A83" s="142" t="str">
        <x:v>ORD-0073</x:v>
      </x:c>
      <x:c r="B83" s="143" t="str">
        <x:v>Zarqa|Enterprise Data|C41025|ACT</x:v>
      </x:c>
      <x:c r="C83" s="143" t="str">
        <x:v>ACC-35790</x:v>
      </x:c>
      <x:c r="D83" s="231" t="n">
        <x:v>46161</x:v>
      </x:c>
      <x:c r="E83" s="231" t="n">
        <x:v>46166</x:v>
      </x:c>
      <x:c r="F83" s="231" t="n">
        <x:v>46165</x:v>
      </x:c>
      <x:c r="G83" s="143" t="str">
        <x:v>Medium</x:v>
      </x:c>
      <x:c r="H83" s="237" t="n">
        <x:v>946.75</x:v>
      </x:c>
      <x:c r="I83" s="237" t="n">
        <x:v>1000</x:v>
      </x:c>
      <x:c r="J83" s="243" t="n">
        <x:v>90</x:v>
      </x:c>
      <x:c r="K83" s="143" t="n">
        <x:v>6</x:v>
      </x:c>
      <x:c r="L83" s="143" t="n">
        <x:v>24</x:v>
      </x:c>
      <x:c r="M83" s="144" t="n">
        <x:v>37</x:v>
      </x:c>
    </x:row>
    <x:row r="84" ht="21" customHeight="1">
      <x:c r="A84" s="142" t="str">
        <x:v>ORD-0074</x:v>
      </x:c>
      <x:c r="B84" s="143" t="str">
        <x:v>Zarqa|Enterprise Data|C41025|ACT</x:v>
      </x:c>
      <x:c r="C84" s="143" t="str">
        <x:v>ACC-93817</x:v>
      </x:c>
      <x:c r="D84" s="231" t="n">
        <x:v>46214</x:v>
      </x:c>
      <x:c r="E84" s="231" t="n">
        <x:v>46220</x:v>
      </x:c>
      <x:c r="F84" s="231" t="n">
        <x:v>46222</x:v>
      </x:c>
      <x:c r="G84" s="143" t="str">
        <x:v>Low</x:v>
      </x:c>
      <x:c r="H84" s="237" t="n">
        <x:v>1080.8</x:v>
      </x:c>
      <x:c r="I84" s="237" t="n">
        <x:v>1000</x:v>
      </x:c>
      <x:c r="J84" s="243" t="n">
        <x:v>87</x:v>
      </x:c>
      <x:c r="K84" s="143" t="n">
        <x:v>0</x:v>
      </x:c>
      <x:c r="L84" s="143" t="n">
        <x:v>4</x:v>
      </x:c>
      <x:c r="M84" s="144" t="n">
        <x:v>27</x:v>
      </x:c>
    </x:row>
    <x:row r="85" ht="21" customHeight="1">
      <x:c r="A85" s="142" t="str">
        <x:v>ORD-0075</x:v>
      </x:c>
      <x:c r="B85" s="143" t="str">
        <x:v>Zarqa|5G Home|C41028|REN</x:v>
      </x:c>
      <x:c r="C85" s="143" t="str">
        <x:v>ACC-11718</x:v>
      </x:c>
      <x:c r="D85" s="231" t="n">
        <x:v>46208</x:v>
      </x:c>
      <x:c r="E85" s="231" t="n">
        <x:v>46211</x:v>
      </x:c>
      <x:c r="F85" s="231" t="n">
        <x:v>46214</x:v>
      </x:c>
      <x:c r="G85" s="143" t="str">
        <x:v>High</x:v>
      </x:c>
      <x:c r="H85" s="237" t="n">
        <x:v>455.6</x:v>
      </x:c>
      <x:c r="I85" s="237" t="n">
        <x:v>450</x:v>
      </x:c>
      <x:c r="J85" s="243" t="n">
        <x:v>82</x:v>
      </x:c>
      <x:c r="K85" s="143" t="n">
        <x:v>6</x:v>
      </x:c>
      <x:c r="L85" s="143" t="n">
        <x:v>4</x:v>
      </x:c>
      <x:c r="M85" s="144" t="n">
        <x:v>12</x:v>
      </x:c>
    </x:row>
    <x:row r="86" ht="21" customHeight="1">
      <x:c r="A86" s="142" t="str">
        <x:v>ORD-0076</x:v>
      </x:c>
      <x:c r="B86" s="143" t="str">
        <x:v>Aqaba|Enterprise Data|C41018|REN</x:v>
      </x:c>
      <x:c r="C86" s="143" t="str">
        <x:v>ACC-16933</x:v>
      </x:c>
      <x:c r="D86" s="231" t="n">
        <x:v>46160</x:v>
      </x:c>
      <x:c r="E86" s="231" t="n">
        <x:v>46166</x:v>
      </x:c>
      <x:c r="F86" s="231" t="n">
        <x:v>46167</x:v>
      </x:c>
      <x:c r="G86" s="143" t="str">
        <x:v>Low</x:v>
      </x:c>
      <x:c r="H86" s="237" t="n">
        <x:v>870.48</x:v>
      </x:c>
      <x:c r="I86" s="237" t="n">
        <x:v>800</x:v>
      </x:c>
      <x:c r="J86" s="243" t="n">
        <x:v>63</x:v>
      </x:c>
      <x:c r="K86" s="143" t="n">
        <x:v>8</x:v>
      </x:c>
      <x:c r="L86" s="143" t="n">
        <x:v>4</x:v>
      </x:c>
      <x:c r="M86" s="144" t="n">
        <x:v>28</x:v>
      </x:c>
    </x:row>
    <x:row r="87" ht="21" customHeight="1">
      <x:c r="A87" s="142" t="str">
        <x:v>ORD-0077</x:v>
      </x:c>
      <x:c r="B87" s="143" t="str">
        <x:v>Aqaba|Mobile|C41024|UPG</x:v>
      </x:c>
      <x:c r="C87" s="143" t="str">
        <x:v>ACC-49909</x:v>
      </x:c>
      <x:c r="D87" s="231" t="n">
        <x:v>46064</x:v>
      </x:c>
      <x:c r="E87" s="231" t="n">
        <x:v>46072</x:v>
      </x:c>
      <x:c r="F87" s="231" t="n">
        <x:v>46075</x:v>
      </x:c>
      <x:c r="G87" s="143" t="str">
        <x:v>Low</x:v>
      </x:c>
      <x:c r="H87" s="237" t="n">
        <x:v>328.27</x:v>
      </x:c>
      <x:c r="I87" s="237" t="n">
        <x:v>450</x:v>
      </x:c>
      <x:c r="J87" s="243" t="n">
        <x:v>88</x:v>
      </x:c>
      <x:c r="K87" s="143" t="n">
        <x:v>5</x:v>
      </x:c>
      <x:c r="L87" s="143" t="n">
        <x:v>24</x:v>
      </x:c>
      <x:c r="M87" s="144" t="n">
        <x:v>11</x:v>
      </x:c>
    </x:row>
    <x:row r="88" ht="21" customHeight="1">
      <x:c r="A88" s="142" t="str">
        <x:v>ORD-0078</x:v>
      </x:c>
      <x:c r="B88" s="143" t="str">
        <x:v>Balqa|Fiber|C41029|MIG</x:v>
      </x:c>
      <x:c r="C88" s="143" t="str">
        <x:v>ACC-55674</x:v>
      </x:c>
      <x:c r="D88" s="231" t="n">
        <x:v>46250</x:v>
      </x:c>
      <x:c r="E88" s="231" t="n">
        <x:v>46254</x:v>
      </x:c>
      <x:c r="F88" s="231" t="n">
        <x:v>46255</x:v>
      </x:c>
      <x:c r="G88" s="143" t="str">
        <x:v>Medium</x:v>
      </x:c>
      <x:c r="H88" s="237" t="n">
        <x:v>1174.8</x:v>
      </x:c>
      <x:c r="I88" s="237" t="n">
        <x:v>1500</x:v>
      </x:c>
      <x:c r="J88" s="243" t="n">
        <x:v>86</x:v>
      </x:c>
      <x:c r="K88" s="143" t="n">
        <x:v>3</x:v>
      </x:c>
      <x:c r="L88" s="143" t="n">
        <x:v>12</x:v>
      </x:c>
      <x:c r="M88" s="144" t="n">
        <x:v>22</x:v>
      </x:c>
    </x:row>
    <x:row r="89" ht="21" customHeight="1">
      <x:c r="A89" s="142" t="str">
        <x:v>ORD-0079</x:v>
      </x:c>
      <x:c r="B89" s="143" t="str">
        <x:v>Amman|Enterprise Data|C41040|UPG</x:v>
      </x:c>
      <x:c r="C89" s="143" t="str">
        <x:v>ACC-90275</x:v>
      </x:c>
      <x:c r="D89" s="231" t="n">
        <x:v>46098</x:v>
      </x:c>
      <x:c r="E89" s="231" t="n">
        <x:v>46100</x:v>
      </x:c>
      <x:c r="F89" s="231" t="n">
        <x:v>46104</x:v>
      </x:c>
      <x:c r="G89" s="143" t="str">
        <x:v>High</x:v>
      </x:c>
      <x:c r="H89" s="237" t="n">
        <x:v>1767.47</x:v>
      </x:c>
      <x:c r="I89" s="237" t="n">
        <x:v>1500</x:v>
      </x:c>
      <x:c r="J89" s="243" t="n">
        <x:v>80</x:v>
      </x:c>
      <x:c r="K89" s="143" t="n">
        <x:v>4</x:v>
      </x:c>
      <x:c r="L89" s="143" t="n">
        <x:v>24</x:v>
      </x:c>
      <x:c r="M89" s="144" t="n">
        <x:v>13</x:v>
      </x:c>
    </x:row>
    <x:row r="90" ht="21" customHeight="1">
      <x:c r="A90" s="145" t="str">
        <x:v>ORD-0080</x:v>
      </x:c>
      <x:c r="B90" s="146" t="str">
        <x:v>Amman|5G Home|C41001|MIG</x:v>
      </x:c>
      <x:c r="C90" s="146" t="n">
        <x:v>75879</x:v>
      </x:c>
      <x:c r="D90" s="232" t="n">
        <x:v>46242</x:v>
      </x:c>
      <x:c r="E90" s="232" t="n">
        <x:v>46249</x:v>
      </x:c>
      <x:c r="F90" s="232" t="n">
        <x:v>46251</x:v>
      </x:c>
      <x:c r="G90" s="146" t="str">
        <x:v>Low</x:v>
      </x:c>
      <x:c r="H90" s="238" t="n">
        <x:v>298.71</x:v>
      </x:c>
      <x:c r="I90" s="238" t="n">
        <x:v>300</x:v>
      </x:c>
      <x:c r="J90" s="244" t="n">
        <x:v>79</x:v>
      </x:c>
      <x:c r="K90" s="146" t="n">
        <x:v>9</x:v>
      </x:c>
      <x:c r="L90" s="146" t="n">
        <x:v>8</x:v>
      </x:c>
      <x:c r="M90" s="147" t="n">
        <x:v>31</x:v>
      </x:c>
    </x:row>
    <x:row r="91" ht="21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 ht="21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 ht="21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 ht="21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 ht="21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 ht="21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</x:sheetData>
  <x:mergeCells>
    <x:mergeCell ref="A1:M2"/>
    <x:mergeCell ref="A3:M3"/>
    <x:mergeCell ref="A5:M6"/>
    <x:mergeCell ref="A7:M8"/>
  </x:mergeCells>
  <x:conditionalFormatting sqref="C11:C90">
    <x:cfRule type="expression" dxfId="0" priority="1">
      <x:formula>ISNUMBER(C11)</x:formula>
    </x:cfRule>
  </x:conditionalFormatting>
  <x:dataValidations count="13">
    <x:dataValidation allowBlank="1" showInputMessage="1" promptTitle="Order ID" prompt="Unique service-order identifier.&#10;رقم طلب الخدمة." sqref="A10"/>
    <x:dataValidation allowBlank="1" showInputMessage="1" promptTitle="Composite Key" prompt="Region|Service|CustomerID|OrderType.&#10;أربعة حقول داخل نص واحد." sqref="B10"/>
    <x:dataValidation allowBlank="1" showInputMessage="1" promptTitle="Account Reference" prompt="Some rows are intentionally numeric.&#10;بعض الصفوف أرقام بشكل مقصود." sqref="C10"/>
    <x:dataValidation allowBlank="1" showInputMessage="1" promptTitle="Start Date" prompt="Order start date.&#10;تاريخ بدء الطلب." sqref="D10"/>
    <x:dataValidation allowBlank="1" showInputMessage="1" promptTitle="Due Date" prompt="Committed due date.&#10;تاريخ الاستحقاق." sqref="E10"/>
    <x:dataValidation allowBlank="1" showInputMessage="1" promptTitle="Close Date" prompt="Actual close date.&#10;تاريخ الإغلاق." sqref="F10"/>
    <x:dataValidation allowBlank="1" showInputMessage="1" promptTitle="Priority" prompt="High / Medium / Low.&#10;أولوية الطلب." sqref="G10"/>
    <x:dataValidation allowBlank="1" showInputMessage="1" promptTitle="Revenue" prompt="Actual revenue.&#10;الإيراد الفعلي." sqref="H10"/>
    <x:dataValidation allowBlank="1" showInputMessage="1" promptTitle="Target" prompt="Revenue target.&#10;المستهدف." sqref="I10"/>
    <x:dataValidation allowBlank="1" showInputMessage="1" promptTitle="CSAT" prompt="Customer satisfaction score.&#10;رضا العميل." sqref="J10"/>
    <x:dataValidation allowBlank="1" showInputMessage="1" promptTitle="Tickets" prompt="Number of customer tickets.&#10;عدد التذاكر." sqref="K10"/>
    <x:dataValidation allowBlank="1" showInputMessage="1" promptTitle="SLA Hours" prompt="Allowed resolution hours.&#10;ساعات SLA." sqref="L10"/>
    <x:dataValidation allowBlank="1" showInputMessage="1" promptTitle="Resolution Hours" prompt="Actual resolution hours.&#10;ساعات الحل الفعلية." sqref="M10"/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18" hidden="0" customWidth="1"/>
    <x:col min="4" max="4" width="11" hidden="0" customWidth="1"/>
    <x:col min="5" max="5" width="11" hidden="0" customWidth="1"/>
    <x:col min="6" max="6" width="10" hidden="0" customWidth="1"/>
    <x:col min="7" max="7" width="11" hidden="0" customWidth="1"/>
    <x:col min="8" max="8" width="14" hidden="0" customWidth="1"/>
    <x:col min="9" max="9" width="17" hidden="0" customWidth="1"/>
    <x:col min="10" max="10" width="21" hidden="0" customWidth="1"/>
    <x:col min="11" max="11" width="17" hidden="0" customWidth="1"/>
    <x:col min="12" max="12" width="14" hidden="0" customWidth="1"/>
    <x:col min="13" max="13" width="13" hidden="0" customWidth="1"/>
    <x:col min="14" max="14" width="14" hidden="0" customWidth="1"/>
    <x:col min="15" max="15" width="17" hidden="0" customWidth="1"/>
    <x:col min="16" max="16" width="17" hidden="0" customWidth="1"/>
    <x:col min="17" max="17" width="14" hidden="0" customWidth="1"/>
    <x:col min="18" max="18" width="13" hidden="0" customWidth="1"/>
    <x:col min="19" max="19" width="17" hidden="0" customWidth="1"/>
  </x:cols>
  <x:sheetData>
    <x:row r="1" ht="21" customHeight="1">
      <x:c r="A1" s="460" t="str">
        <x:v>WORKSPACE A  •  PARSE → ENRICH → DECIDE</x:v>
      </x:c>
      <x:c r="B1" s="460"/>
      <x:c r="C1" s="460"/>
      <x:c r="D1" s="460"/>
      <x:c r="E1" s="460"/>
      <x:c r="F1" s="460"/>
      <x:c r="G1" s="460"/>
      <x:c r="H1" s="460"/>
      <x:c r="I1" s="460"/>
      <x:c r="J1" s="460"/>
      <x:c r="K1" s="460"/>
      <x:c r="L1" s="460"/>
      <x:c r="M1" s="460"/>
      <x:c r="N1" s="460"/>
      <x:c r="O1" s="460"/>
      <x:c r="P1" s="460"/>
      <x:c r="Q1" s="460"/>
      <x:c r="R1" s="460"/>
      <x:c r="S1" s="464"/>
    </x:row>
    <x:row r="2" ht="21" customHeight="1">
      <x:c r="A2" s="460"/>
      <x:c r="B2" s="460"/>
      <x:c r="C2" s="460"/>
      <x:c r="D2" s="460"/>
      <x:c r="E2" s="460"/>
      <x:c r="F2" s="460"/>
      <x:c r="G2" s="460"/>
      <x:c r="H2" s="460"/>
      <x:c r="I2" s="460"/>
      <x:c r="J2" s="460"/>
      <x:c r="K2" s="460"/>
      <x:c r="L2" s="460"/>
      <x:c r="M2" s="460"/>
      <x:c r="N2" s="460"/>
      <x:c r="O2" s="460"/>
      <x:c r="P2" s="460"/>
      <x:c r="Q2" s="460"/>
      <x:c r="R2" s="460"/>
      <x:c r="S2" s="464"/>
    </x:row>
    <x:row r="3" ht="21" customHeight="1">
      <x:c r="A3" s="465" t="str">
        <x:v>النصوص + XLOOKUP + Logic في نفس الجدول</x:v>
      </x:c>
      <x:c r="B3" s="465"/>
      <x:c r="C3" s="465"/>
      <x:c r="D3" s="465"/>
      <x:c r="E3" s="465"/>
      <x:c r="F3" s="465"/>
      <x:c r="G3" s="465"/>
      <x:c r="H3" s="465"/>
      <x:c r="I3" s="465"/>
      <x:c r="J3" s="465"/>
      <x:c r="K3" s="465"/>
      <x:c r="L3" s="465"/>
      <x:c r="M3" s="465"/>
      <x:c r="N3" s="465"/>
      <x:c r="O3" s="465"/>
      <x:c r="P3" s="465"/>
      <x:c r="Q3" s="465"/>
      <x:c r="R3" s="465"/>
      <x:c r="S3" s="465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21" customHeight="1">
      <x:c r="A5" s="474" t="str">
        <x:v>YOUR MISSION  •  Complete the yellow columns for all rows. Use the source values on the left; do not type outputs manually.</x:v>
      </x:c>
      <x:c r="B5" s="475"/>
      <x:c r="C5" s="475"/>
      <x:c r="D5" s="475"/>
      <x:c r="E5" s="475"/>
      <x:c r="F5" s="475"/>
      <x:c r="G5" s="475"/>
      <x:c r="H5" s="475"/>
      <x:c r="I5" s="475"/>
      <x:c r="J5" s="475"/>
      <x:c r="K5" s="475"/>
      <x:c r="L5" s="475"/>
      <x:c r="M5" s="475"/>
      <x:c r="N5" s="475"/>
      <x:c r="O5" s="475"/>
      <x:c r="P5" s="475"/>
      <x:c r="Q5" s="475"/>
      <x:c r="R5" s="475"/>
      <x:c r="S5" s="475"/>
    </x:row>
    <x:row r="6" ht="21" customHeight="1">
      <x:c r="A6" s="474"/>
      <x:c r="B6" s="475"/>
      <x:c r="C6" s="475"/>
      <x:c r="D6" s="475"/>
      <x:c r="E6" s="475"/>
      <x:c r="F6" s="475"/>
      <x:c r="G6" s="475"/>
      <x:c r="H6" s="475"/>
      <x:c r="I6" s="475"/>
      <x:c r="J6" s="475"/>
      <x:c r="K6" s="475"/>
      <x:c r="L6" s="475"/>
      <x:c r="M6" s="475"/>
      <x:c r="N6" s="475"/>
      <x:c r="O6" s="475"/>
      <x:c r="P6" s="475"/>
      <x:c r="Q6" s="475"/>
      <x:c r="R6" s="475"/>
      <x:c r="S6" s="475"/>
    </x:row>
    <x:row r="7" ht="21" customHeight="1">
      <x:c r="A7" s="482" t="str">
        <x:v>المطلوب منك  •  عبّي الأعمدة الصفراء لكل الصفوف باستخدام المعادلات، ولا تكتب النتائج يدوياً.</x:v>
      </x:c>
      <x:c r="B7" s="482"/>
      <x:c r="C7" s="482"/>
      <x:c r="D7" s="482"/>
      <x:c r="E7" s="482"/>
      <x:c r="F7" s="482"/>
      <x:c r="G7" s="482"/>
      <x:c r="H7" s="482"/>
      <x:c r="I7" s="482"/>
      <x:c r="J7" s="482"/>
      <x:c r="K7" s="482"/>
      <x:c r="L7" s="482"/>
      <x:c r="M7" s="482"/>
      <x:c r="N7" s="482"/>
      <x:c r="O7" s="482"/>
      <x:c r="P7" s="482"/>
      <x:c r="Q7" s="482"/>
      <x:c r="R7" s="480"/>
      <x:c r="S7" s="486"/>
    </x:row>
    <x:row r="8" ht="21" customHeight="1">
      <x:c r="A8" s="482"/>
      <x:c r="B8" s="482"/>
      <x:c r="C8" s="482"/>
      <x:c r="D8" s="482"/>
      <x:c r="E8" s="482"/>
      <x:c r="F8" s="482"/>
      <x:c r="G8" s="482"/>
      <x:c r="H8" s="482"/>
      <x:c r="I8" s="482"/>
      <x:c r="J8" s="482"/>
      <x:c r="K8" s="482"/>
      <x:c r="L8" s="482"/>
      <x:c r="M8" s="482"/>
      <x:c r="N8" s="482"/>
      <x:c r="O8" s="482"/>
      <x:c r="P8" s="482"/>
      <x:c r="Q8" s="482"/>
      <x:c r="R8" s="480"/>
      <x:c r="S8" s="486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</x:row>
    <x:row r="10" ht="30" customHeight="1">
      <x:c r="A10" s="491" t="str">
        <x:v>Order ID</x:v>
      </x:c>
      <x:c r="B10" s="492" t="str">
        <x:v>Composite Key</x:v>
      </x:c>
      <x:c r="C10" s="492" t="str">
        <x:v>Account Reference</x:v>
      </x:c>
      <x:c r="D10" s="492" t="str">
        <x:v>Revenue</x:v>
      </x:c>
      <x:c r="E10" s="492" t="str">
        <x:v>Target</x:v>
      </x:c>
      <x:c r="F10" s="492" t="str">
        <x:v>Tickets</x:v>
      </x:c>
      <x:c r="G10" s="492" t="str">
        <x:v>SLA Hours</x:v>
      </x:c>
      <x:c r="H10" s="492" t="str">
        <x:v>Resolution Hours</x:v>
      </x:c>
      <x:c r="I10" s="492" t="str">
        <x:v>Region</x:v>
      </x:c>
      <x:c r="J10" s="492" t="str">
        <x:v>Service</x:v>
      </x:c>
      <x:c r="K10" s="492" t="str">
        <x:v>Customer ID</x:v>
      </x:c>
      <x:c r="L10" s="492" t="str">
        <x:v>Order Type</x:v>
      </x:c>
      <x:c r="M10" s="492" t="str">
        <x:v>Type Flag</x:v>
      </x:c>
      <x:c r="N10" s="492" t="str">
        <x:v>Plan</x:v>
      </x:c>
      <x:c r="O10" s="492" t="str">
        <x:v>Account Manager</x:v>
      </x:c>
      <x:c r="P10" s="492" t="str">
        <x:v>Account Status</x:v>
      </x:c>
      <x:c r="Q10" s="492" t="str">
        <x:v>Monthly Fee</x:v>
      </x:c>
      <x:c r="R10" s="493" t="str">
        <x:v>Achievement %</x:v>
      </x:c>
      <x:c r="S10" s="497" t="str">
        <x:v>Performance Tier</x:v>
      </x:c>
    </x:row>
    <x:row r="11" ht="22" customHeight="1">
      <x:c r="A11" s="139" t="str">
        <x:v>ORD-0001</x:v>
      </x:c>
      <x:c r="B11" s="140" t="str">
        <x:v>Aqaba|5G Home|C41027|ACT</x:v>
      </x:c>
      <x:c r="C11" s="140" t="str">
        <x:v>ACC-95125</x:v>
      </x:c>
      <x:c r="D11" s="236" t="n">
        <x:v>1293.67</x:v>
      </x:c>
      <x:c r="E11" s="236" t="n">
        <x:v>1500</x:v>
      </x:c>
      <x:c r="F11" s="140" t="n">
        <x:v>0</x:v>
      </x:c>
      <x:c r="G11" s="140" t="n">
        <x:v>12</x:v>
      </x:c>
      <x:c r="H11" s="140" t="n">
        <x:v>17</x:v>
      </x:c>
      <x:c r="I11" s="499"/>
      <x:c r="J11" s="499"/>
      <x:c r="K11" s="499"/>
      <x:c r="L11" s="499"/>
      <x:c r="M11" s="499"/>
      <x:c r="N11" s="499"/>
      <x:c r="O11" s="499"/>
      <x:c r="P11" s="499"/>
      <x:c r="Q11" s="509"/>
      <x:c r="R11" s="512"/>
      <x:c r="S11" s="502"/>
    </x:row>
    <x:row r="12" ht="22" customHeight="1">
      <x:c r="A12" s="142" t="str">
        <x:v>ORD-0002</x:v>
      </x:c>
      <x:c r="B12" s="143" t="str">
        <x:v>Irbid|Enterprise Data|C41014|UPG</x:v>
      </x:c>
      <x:c r="C12" s="143" t="str">
        <x:v>ACC-15863</x:v>
      </x:c>
      <x:c r="D12" s="237" t="n">
        <x:v>1242.36</x:v>
      </x:c>
      <x:c r="E12" s="237" t="n">
        <x:v>1500</x:v>
      </x:c>
      <x:c r="F12" s="143" t="n">
        <x:v>7</x:v>
      </x:c>
      <x:c r="G12" s="143" t="n">
        <x:v>12</x:v>
      </x:c>
      <x:c r="H12" s="143" t="n">
        <x:v>1</x:v>
      </x:c>
      <x:c r="I12" s="503"/>
      <x:c r="J12" s="503"/>
      <x:c r="K12" s="503"/>
      <x:c r="L12" s="503"/>
      <x:c r="M12" s="503"/>
      <x:c r="N12" s="503"/>
      <x:c r="O12" s="503"/>
      <x:c r="P12" s="503"/>
      <x:c r="Q12" s="510"/>
      <x:c r="R12" s="513"/>
      <x:c r="S12" s="502"/>
    </x:row>
    <x:row r="13" ht="22" customHeight="1">
      <x:c r="A13" s="142" t="str">
        <x:v>ORD-0003</x:v>
      </x:c>
      <x:c r="B13" s="143" t="str">
        <x:v>Irbid|Fiber|C41009|ACT</x:v>
      </x:c>
      <x:c r="C13" s="143" t="str">
        <x:v>ACC-53020</x:v>
      </x:c>
      <x:c r="D13" s="237" t="n">
        <x:v>689.93</x:v>
      </x:c>
      <x:c r="E13" s="237" t="n">
        <x:v>600</x:v>
      </x:c>
      <x:c r="F13" s="143" t="n">
        <x:v>3</x:v>
      </x:c>
      <x:c r="G13" s="143" t="n">
        <x:v>12</x:v>
      </x:c>
      <x:c r="H13" s="143" t="n">
        <x:v>14</x:v>
      </x:c>
      <x:c r="I13" s="503"/>
      <x:c r="J13" s="503"/>
      <x:c r="K13" s="503"/>
      <x:c r="L13" s="503"/>
      <x:c r="M13" s="503"/>
      <x:c r="N13" s="503"/>
      <x:c r="O13" s="503"/>
      <x:c r="P13" s="503"/>
      <x:c r="Q13" s="510"/>
      <x:c r="R13" s="513"/>
      <x:c r="S13" s="502"/>
    </x:row>
    <x:row r="14" ht="22" customHeight="1">
      <x:c r="A14" s="142" t="str">
        <x:v>ORD-0004</x:v>
      </x:c>
      <x:c r="B14" s="143" t="str">
        <x:v>Amman|5G Home|C41030|ACT</x:v>
      </x:c>
      <x:c r="C14" s="143" t="str">
        <x:v>ACC-28045</x:v>
      </x:c>
      <x:c r="D14" s="237" t="n">
        <x:v>1789.92</x:v>
      </x:c>
      <x:c r="E14" s="237" t="n">
        <x:v>1500</x:v>
      </x:c>
      <x:c r="F14" s="143" t="n">
        <x:v>0</x:v>
      </x:c>
      <x:c r="G14" s="143" t="n">
        <x:v>8</x:v>
      </x:c>
      <x:c r="H14" s="143" t="n">
        <x:v>2</x:v>
      </x:c>
      <x:c r="I14" s="503"/>
      <x:c r="J14" s="503"/>
      <x:c r="K14" s="503"/>
      <x:c r="L14" s="503"/>
      <x:c r="M14" s="503"/>
      <x:c r="N14" s="503"/>
      <x:c r="O14" s="503"/>
      <x:c r="P14" s="503"/>
      <x:c r="Q14" s="510"/>
      <x:c r="R14" s="513"/>
      <x:c r="S14" s="502"/>
    </x:row>
    <x:row r="15" ht="22" customHeight="1">
      <x:c r="A15" s="142" t="str">
        <x:v>ORD-0005</x:v>
      </x:c>
      <x:c r="B15" s="143" t="str">
        <x:v>Balqa|Fiber|C41029|REN</x:v>
      </x:c>
      <x:c r="C15" s="143" t="n">
        <x:v>64222</x:v>
      </x:c>
      <x:c r="D15" s="237" t="n">
        <x:v>709.12</x:v>
      </x:c>
      <x:c r="E15" s="237" t="n">
        <x:v>600</x:v>
      </x:c>
      <x:c r="F15" s="143" t="n">
        <x:v>12</x:v>
      </x:c>
      <x:c r="G15" s="143" t="n">
        <x:v>4</x:v>
      </x:c>
      <x:c r="H15" s="143" t="n">
        <x:v>18</x:v>
      </x:c>
      <x:c r="I15" s="503"/>
      <x:c r="J15" s="503"/>
      <x:c r="K15" s="503"/>
      <x:c r="L15" s="503"/>
      <x:c r="M15" s="503"/>
      <x:c r="N15" s="503"/>
      <x:c r="O15" s="503"/>
      <x:c r="P15" s="503"/>
      <x:c r="Q15" s="510"/>
      <x:c r="R15" s="513"/>
      <x:c r="S15" s="502"/>
    </x:row>
    <x:row r="16" ht="22" customHeight="1">
      <x:c r="A16" s="142" t="str">
        <x:v>ORD-0006</x:v>
      </x:c>
      <x:c r="B16" s="143" t="str">
        <x:v>Zarqa|Mobile|C41017|REN</x:v>
      </x:c>
      <x:c r="C16" s="143" t="str">
        <x:v>ACC-51677</x:v>
      </x:c>
      <x:c r="D16" s="237" t="n">
        <x:v>757.89</x:v>
      </x:c>
      <x:c r="E16" s="237" t="n">
        <x:v>600</x:v>
      </x:c>
      <x:c r="F16" s="143" t="n">
        <x:v>1</x:v>
      </x:c>
      <x:c r="G16" s="143" t="n">
        <x:v>12</x:v>
      </x:c>
      <x:c r="H16" s="143" t="n">
        <x:v>36</x:v>
      </x:c>
      <x:c r="I16" s="503"/>
      <x:c r="J16" s="503"/>
      <x:c r="K16" s="503"/>
      <x:c r="L16" s="503"/>
      <x:c r="M16" s="503"/>
      <x:c r="N16" s="503"/>
      <x:c r="O16" s="503"/>
      <x:c r="P16" s="503"/>
      <x:c r="Q16" s="510"/>
      <x:c r="R16" s="513"/>
      <x:c r="S16" s="502"/>
    </x:row>
    <x:row r="17" ht="22" customHeight="1">
      <x:c r="A17" s="142" t="str">
        <x:v>ORD-0007</x:v>
      </x:c>
      <x:c r="B17" s="143" t="str">
        <x:v>Amman|5G Home|C41030|ACT</x:v>
      </x:c>
      <x:c r="C17" s="143" t="str">
        <x:v>ACC-48995</x:v>
      </x:c>
      <x:c r="D17" s="237" t="n">
        <x:v>830.56</x:v>
      </x:c>
      <x:c r="E17" s="237" t="n">
        <x:v>1000</x:v>
      </x:c>
      <x:c r="F17" s="143" t="n">
        <x:v>8</x:v>
      </x:c>
      <x:c r="G17" s="143" t="n">
        <x:v>4</x:v>
      </x:c>
      <x:c r="H17" s="143" t="n">
        <x:v>21</x:v>
      </x:c>
      <x:c r="I17" s="503"/>
      <x:c r="J17" s="503"/>
      <x:c r="K17" s="503"/>
      <x:c r="L17" s="503"/>
      <x:c r="M17" s="503"/>
      <x:c r="N17" s="503"/>
      <x:c r="O17" s="503"/>
      <x:c r="P17" s="503"/>
      <x:c r="Q17" s="510"/>
      <x:c r="R17" s="513"/>
      <x:c r="S17" s="502"/>
    </x:row>
    <x:row r="18" ht="22" customHeight="1">
      <x:c r="A18" s="142" t="str">
        <x:v>ORD-0008</x:v>
      </x:c>
      <x:c r="B18" s="143" t="str">
        <x:v>Amman|Mobile|C41012|MIG</x:v>
      </x:c>
      <x:c r="C18" s="143" t="n">
        <x:v>34870</x:v>
      </x:c>
      <x:c r="D18" s="237" t="n">
        <x:v>387.82</x:v>
      </x:c>
      <x:c r="E18" s="237" t="n">
        <x:v>450</x:v>
      </x:c>
      <x:c r="F18" s="143" t="n">
        <x:v>10</x:v>
      </x:c>
      <x:c r="G18" s="143" t="n">
        <x:v>12</x:v>
      </x:c>
      <x:c r="H18" s="143" t="n">
        <x:v>15</x:v>
      </x:c>
      <x:c r="I18" s="503"/>
      <x:c r="J18" s="503"/>
      <x:c r="K18" s="503"/>
      <x:c r="L18" s="503"/>
      <x:c r="M18" s="503"/>
      <x:c r="N18" s="503"/>
      <x:c r="O18" s="503"/>
      <x:c r="P18" s="503"/>
      <x:c r="Q18" s="510"/>
      <x:c r="R18" s="513"/>
      <x:c r="S18" s="502"/>
    </x:row>
    <x:row r="19" ht="22" customHeight="1">
      <x:c r="A19" s="142" t="str">
        <x:v>ORD-0009</x:v>
      </x:c>
      <x:c r="B19" s="143" t="str">
        <x:v>Amman|5G Home|C41002|UPG</x:v>
      </x:c>
      <x:c r="C19" s="143" t="str">
        <x:v>ACC-71440</x:v>
      </x:c>
      <x:c r="D19" s="237" t="n">
        <x:v>272.51</x:v>
      </x:c>
      <x:c r="E19" s="237" t="n">
        <x:v>300</x:v>
      </x:c>
      <x:c r="F19" s="143" t="n">
        <x:v>12</x:v>
      </x:c>
      <x:c r="G19" s="143" t="n">
        <x:v>48</x:v>
      </x:c>
      <x:c r="H19" s="143" t="n">
        <x:v>40</x:v>
      </x:c>
      <x:c r="I19" s="503"/>
      <x:c r="J19" s="503"/>
      <x:c r="K19" s="503"/>
      <x:c r="L19" s="503"/>
      <x:c r="M19" s="503"/>
      <x:c r="N19" s="503"/>
      <x:c r="O19" s="503"/>
      <x:c r="P19" s="503"/>
      <x:c r="Q19" s="510"/>
      <x:c r="R19" s="513"/>
      <x:c r="S19" s="502"/>
    </x:row>
    <x:row r="20" ht="22" customHeight="1">
      <x:c r="A20" s="142" t="str">
        <x:v>ORD-0010</x:v>
      </x:c>
      <x:c r="B20" s="143" t="str">
        <x:v>Balqa|Fiber|C41029|UPG</x:v>
      </x:c>
      <x:c r="C20" s="143" t="str">
        <x:v>ACC-98905</x:v>
      </x:c>
      <x:c r="D20" s="237" t="n">
        <x:v>1250.88</x:v>
      </x:c>
      <x:c r="E20" s="237" t="n">
        <x:v>1500</x:v>
      </x:c>
      <x:c r="F20" s="143" t="n">
        <x:v>3</x:v>
      </x:c>
      <x:c r="G20" s="143" t="n">
        <x:v>12</x:v>
      </x:c>
      <x:c r="H20" s="143" t="n">
        <x:v>29</x:v>
      </x:c>
      <x:c r="I20" s="503"/>
      <x:c r="J20" s="503"/>
      <x:c r="K20" s="503"/>
      <x:c r="L20" s="503"/>
      <x:c r="M20" s="503"/>
      <x:c r="N20" s="503"/>
      <x:c r="O20" s="503"/>
      <x:c r="P20" s="503"/>
      <x:c r="Q20" s="510"/>
      <x:c r="R20" s="513"/>
      <x:c r="S20" s="502"/>
    </x:row>
    <x:row r="21" ht="22" customHeight="1">
      <x:c r="A21" s="142" t="str">
        <x:v>ORD-0011</x:v>
      </x:c>
      <x:c r="B21" s="143" t="str">
        <x:v>Amman|5G Home|C41030|REN</x:v>
      </x:c>
      <x:c r="C21" s="143" t="str">
        <x:v>ACC-11842</x:v>
      </x:c>
      <x:c r="D21" s="237" t="n">
        <x:v>999.47</x:v>
      </x:c>
      <x:c r="E21" s="237" t="n">
        <x:v>1200</x:v>
      </x:c>
      <x:c r="F21" s="143" t="n">
        <x:v>1</x:v>
      </x:c>
      <x:c r="G21" s="143" t="n">
        <x:v>12</x:v>
      </x:c>
      <x:c r="H21" s="143" t="n">
        <x:v>11</x:v>
      </x:c>
      <x:c r="I21" s="503"/>
      <x:c r="J21" s="503"/>
      <x:c r="K21" s="503"/>
      <x:c r="L21" s="503"/>
      <x:c r="M21" s="503"/>
      <x:c r="N21" s="503"/>
      <x:c r="O21" s="503"/>
      <x:c r="P21" s="503"/>
      <x:c r="Q21" s="510"/>
      <x:c r="R21" s="513"/>
      <x:c r="S21" s="502"/>
    </x:row>
    <x:row r="22" ht="22" customHeight="1">
      <x:c r="A22" s="142" t="str">
        <x:v>ORD-0012</x:v>
      </x:c>
      <x:c r="B22" s="143" t="str">
        <x:v>Balqa|5G Home|C41035|REN</x:v>
      </x:c>
      <x:c r="C22" s="143" t="str">
        <x:v>ACC-47819</x:v>
      </x:c>
      <x:c r="D22" s="237" t="n">
        <x:v>874.14</x:v>
      </x:c>
      <x:c r="E22" s="237" t="n">
        <x:v>800</x:v>
      </x:c>
      <x:c r="F22" s="143" t="n">
        <x:v>8</x:v>
      </x:c>
      <x:c r="G22" s="143" t="n">
        <x:v>48</x:v>
      </x:c>
      <x:c r="H22" s="143" t="n">
        <x:v>12</x:v>
      </x:c>
      <x:c r="I22" s="503"/>
      <x:c r="J22" s="503"/>
      <x:c r="K22" s="503"/>
      <x:c r="L22" s="503"/>
      <x:c r="M22" s="503"/>
      <x:c r="N22" s="503"/>
      <x:c r="O22" s="503"/>
      <x:c r="P22" s="503"/>
      <x:c r="Q22" s="510"/>
      <x:c r="R22" s="513"/>
      <x:c r="S22" s="502"/>
    </x:row>
    <x:row r="23" ht="22" customHeight="1">
      <x:c r="A23" s="142" t="str">
        <x:v>ORD-0013</x:v>
      </x:c>
      <x:c r="B23" s="143" t="str">
        <x:v>Amman|5G Home|C41001|UPG</x:v>
      </x:c>
      <x:c r="C23" s="143" t="str">
        <x:v>ACC-80589</x:v>
      </x:c>
      <x:c r="D23" s="237" t="n">
        <x:v>1220.46</x:v>
      </x:c>
      <x:c r="E23" s="237" t="n">
        <x:v>1000</x:v>
      </x:c>
      <x:c r="F23" s="143" t="n">
        <x:v>6</x:v>
      </x:c>
      <x:c r="G23" s="143" t="n">
        <x:v>12</x:v>
      </x:c>
      <x:c r="H23" s="143" t="n">
        <x:v>13</x:v>
      </x:c>
      <x:c r="I23" s="503"/>
      <x:c r="J23" s="503"/>
      <x:c r="K23" s="503"/>
      <x:c r="L23" s="503"/>
      <x:c r="M23" s="503"/>
      <x:c r="N23" s="503"/>
      <x:c r="O23" s="503"/>
      <x:c r="P23" s="503"/>
      <x:c r="Q23" s="510"/>
      <x:c r="R23" s="513"/>
      <x:c r="S23" s="502"/>
    </x:row>
    <x:row r="24" ht="22" customHeight="1">
      <x:c r="A24" s="142" t="str">
        <x:v>ORD-0014</x:v>
      </x:c>
      <x:c r="B24" s="143" t="str">
        <x:v>Amman|Fiber|C41015|MIG</x:v>
      </x:c>
      <x:c r="C24" s="143" t="str">
        <x:v>ACC-58772</x:v>
      </x:c>
      <x:c r="D24" s="237" t="n">
        <x:v>515.72</x:v>
      </x:c>
      <x:c r="E24" s="237" t="n">
        <x:v>450</x:v>
      </x:c>
      <x:c r="F24" s="143" t="n">
        <x:v>10</x:v>
      </x:c>
      <x:c r="G24" s="143" t="n">
        <x:v>4</x:v>
      </x:c>
      <x:c r="H24" s="143" t="n">
        <x:v>27</x:v>
      </x:c>
      <x:c r="I24" s="503"/>
      <x:c r="J24" s="503"/>
      <x:c r="K24" s="503"/>
      <x:c r="L24" s="503"/>
      <x:c r="M24" s="503"/>
      <x:c r="N24" s="503"/>
      <x:c r="O24" s="503"/>
      <x:c r="P24" s="503"/>
      <x:c r="Q24" s="510"/>
      <x:c r="R24" s="513"/>
      <x:c r="S24" s="502"/>
    </x:row>
    <x:row r="25" ht="22" customHeight="1">
      <x:c r="A25" s="142" t="str">
        <x:v>ORD-0015</x:v>
      </x:c>
      <x:c r="B25" s="143" t="str">
        <x:v>Zarqa|5G Home|C41028|MIG</x:v>
      </x:c>
      <x:c r="C25" s="143" t="str">
        <x:v>ACC-97659</x:v>
      </x:c>
      <x:c r="D25" s="237" t="n">
        <x:v>542.59</x:v>
      </x:c>
      <x:c r="E25" s="237" t="n">
        <x:v>600</x:v>
      </x:c>
      <x:c r="F25" s="143" t="n">
        <x:v>4</x:v>
      </x:c>
      <x:c r="G25" s="143" t="n">
        <x:v>8</x:v>
      </x:c>
      <x:c r="H25" s="143" t="n">
        <x:v>3</x:v>
      </x:c>
      <x:c r="I25" s="503"/>
      <x:c r="J25" s="503"/>
      <x:c r="K25" s="503"/>
      <x:c r="L25" s="503"/>
      <x:c r="M25" s="503"/>
      <x:c r="N25" s="503"/>
      <x:c r="O25" s="503"/>
      <x:c r="P25" s="503"/>
      <x:c r="Q25" s="510"/>
      <x:c r="R25" s="513"/>
      <x:c r="S25" s="502"/>
    </x:row>
    <x:row r="26" ht="22" customHeight="1">
      <x:c r="A26" s="142" t="str">
        <x:v>ORD-0016</x:v>
      </x:c>
      <x:c r="B26" s="143" t="str">
        <x:v>Aqaba|Mobile|C41007|MIG</x:v>
      </x:c>
      <x:c r="C26" s="143" t="n">
        <x:v>17748</x:v>
      </x:c>
      <x:c r="D26" s="237" t="n">
        <x:v>597.95</x:v>
      </x:c>
      <x:c r="E26" s="237" t="n">
        <x:v>600</x:v>
      </x:c>
      <x:c r="F26" s="143" t="n">
        <x:v>10</x:v>
      </x:c>
      <x:c r="G26" s="143" t="n">
        <x:v>12</x:v>
      </x:c>
      <x:c r="H26" s="143" t="n">
        <x:v>10</x:v>
      </x:c>
      <x:c r="I26" s="503"/>
      <x:c r="J26" s="503"/>
      <x:c r="K26" s="503"/>
      <x:c r="L26" s="503"/>
      <x:c r="M26" s="503"/>
      <x:c r="N26" s="503"/>
      <x:c r="O26" s="503"/>
      <x:c r="P26" s="503"/>
      <x:c r="Q26" s="510"/>
      <x:c r="R26" s="513"/>
      <x:c r="S26" s="502"/>
    </x:row>
    <x:row r="27" ht="22" customHeight="1">
      <x:c r="A27" s="142" t="str">
        <x:v>ORD-0017</x:v>
      </x:c>
      <x:c r="B27" s="143" t="str">
        <x:v>Zarqa|Mobile|C41017|ACT</x:v>
      </x:c>
      <x:c r="C27" s="143" t="str">
        <x:v>ACC-35310</x:v>
      </x:c>
      <x:c r="D27" s="237" t="n">
        <x:v>733.39</x:v>
      </x:c>
      <x:c r="E27" s="237" t="n">
        <x:v>600</x:v>
      </x:c>
      <x:c r="F27" s="143" t="n">
        <x:v>11</x:v>
      </x:c>
      <x:c r="G27" s="143" t="n">
        <x:v>8</x:v>
      </x:c>
      <x:c r="H27" s="143" t="n">
        <x:v>5</x:v>
      </x:c>
      <x:c r="I27" s="503"/>
      <x:c r="J27" s="503"/>
      <x:c r="K27" s="503"/>
      <x:c r="L27" s="503"/>
      <x:c r="M27" s="503"/>
      <x:c r="N27" s="503"/>
      <x:c r="O27" s="503"/>
      <x:c r="P27" s="503"/>
      <x:c r="Q27" s="510"/>
      <x:c r="R27" s="513"/>
      <x:c r="S27" s="502"/>
    </x:row>
    <x:row r="28" ht="22" customHeight="1">
      <x:c r="A28" s="142" t="str">
        <x:v>ORD-0018</x:v>
      </x:c>
      <x:c r="B28" s="143" t="str">
        <x:v>Zarqa|Mobile|C41017|MIG</x:v>
      </x:c>
      <x:c r="C28" s="143" t="str">
        <x:v>ACC-41638</x:v>
      </x:c>
      <x:c r="D28" s="237" t="n">
        <x:v>1789.93</x:v>
      </x:c>
      <x:c r="E28" s="237" t="n">
        <x:v>1500</x:v>
      </x:c>
      <x:c r="F28" s="143" t="n">
        <x:v>2</x:v>
      </x:c>
      <x:c r="G28" s="143" t="n">
        <x:v>12</x:v>
      </x:c>
      <x:c r="H28" s="143" t="n">
        <x:v>10</x:v>
      </x:c>
      <x:c r="I28" s="503"/>
      <x:c r="J28" s="503"/>
      <x:c r="K28" s="503"/>
      <x:c r="L28" s="503"/>
      <x:c r="M28" s="503"/>
      <x:c r="N28" s="503"/>
      <x:c r="O28" s="503"/>
      <x:c r="P28" s="503"/>
      <x:c r="Q28" s="510"/>
      <x:c r="R28" s="513"/>
      <x:c r="S28" s="502"/>
    </x:row>
    <x:row r="29" ht="22" customHeight="1">
      <x:c r="A29" s="142" t="str">
        <x:v>ORD-0019</x:v>
      </x:c>
      <x:c r="B29" s="143" t="str">
        <x:v>Amman|Mobile|C41032|ACT</x:v>
      </x:c>
      <x:c r="C29" s="143" t="n">
        <x:v>32948</x:v>
      </x:c>
      <x:c r="D29" s="237" t="n">
        <x:v>329.45</x:v>
      </x:c>
      <x:c r="E29" s="237" t="n">
        <x:v>450</x:v>
      </x:c>
      <x:c r="F29" s="143" t="n">
        <x:v>0</x:v>
      </x:c>
      <x:c r="G29" s="143" t="n">
        <x:v>12</x:v>
      </x:c>
      <x:c r="H29" s="143" t="n">
        <x:v>33</x:v>
      </x:c>
      <x:c r="I29" s="503"/>
      <x:c r="J29" s="503"/>
      <x:c r="K29" s="503"/>
      <x:c r="L29" s="503"/>
      <x:c r="M29" s="503"/>
      <x:c r="N29" s="503"/>
      <x:c r="O29" s="503"/>
      <x:c r="P29" s="503"/>
      <x:c r="Q29" s="510"/>
      <x:c r="R29" s="513"/>
      <x:c r="S29" s="502"/>
    </x:row>
    <x:row r="30" ht="22" customHeight="1">
      <x:c r="A30" s="142" t="str">
        <x:v>ORD-0024</x:v>
      </x:c>
      <x:c r="B30" s="143" t="str">
        <x:v>Aqaba|Mobile|C41007|UPG</x:v>
      </x:c>
      <x:c r="C30" s="143" t="n">
        <x:v>77255</x:v>
      </x:c>
      <x:c r="D30" s="237" t="n">
        <x:v>555.88</x:v>
      </x:c>
      <x:c r="E30" s="237" t="n">
        <x:v>600</x:v>
      </x:c>
      <x:c r="F30" s="143" t="n">
        <x:v>0</x:v>
      </x:c>
      <x:c r="G30" s="143" t="n">
        <x:v>4</x:v>
      </x:c>
      <x:c r="H30" s="143" t="n">
        <x:v>19</x:v>
      </x:c>
      <x:c r="I30" s="503"/>
      <x:c r="J30" s="503"/>
      <x:c r="K30" s="503"/>
      <x:c r="L30" s="503"/>
      <x:c r="M30" s="503"/>
      <x:c r="N30" s="503"/>
      <x:c r="O30" s="503"/>
      <x:c r="P30" s="503"/>
      <x:c r="Q30" s="510"/>
      <x:c r="R30" s="513"/>
      <x:c r="S30" s="502"/>
    </x:row>
    <x:row r="31" ht="22" customHeight="1">
      <x:c r="A31" s="142" t="str">
        <x:v>ORD-0032</x:v>
      </x:c>
      <x:c r="B31" s="143" t="str">
        <x:v>Amman|Mobile|C41032|MIG</x:v>
      </x:c>
      <x:c r="C31" s="143" t="n">
        <x:v>37987</x:v>
      </x:c>
      <x:c r="D31" s="237" t="n">
        <x:v>993.69</x:v>
      </x:c>
      <x:c r="E31" s="237" t="n">
        <x:v>1000</x:v>
      </x:c>
      <x:c r="F31" s="143" t="n">
        <x:v>3</x:v>
      </x:c>
      <x:c r="G31" s="143" t="n">
        <x:v>4</x:v>
      </x:c>
      <x:c r="H31" s="143" t="n">
        <x:v>14</x:v>
      </x:c>
      <x:c r="I31" s="503"/>
      <x:c r="J31" s="503"/>
      <x:c r="K31" s="503"/>
      <x:c r="L31" s="503"/>
      <x:c r="M31" s="503"/>
      <x:c r="N31" s="503"/>
      <x:c r="O31" s="503"/>
      <x:c r="P31" s="503"/>
      <x:c r="Q31" s="510"/>
      <x:c r="R31" s="513"/>
      <x:c r="S31" s="502"/>
    </x:row>
    <x:row r="32" ht="22" customHeight="1">
      <x:c r="A32" s="142" t="str">
        <x:v>ORD-0037</x:v>
      </x:c>
      <x:c r="B32" s="143" t="str">
        <x:v>Amman|Mobile|C41012|UPG</x:v>
      </x:c>
      <x:c r="C32" s="143" t="n">
        <x:v>53854</x:v>
      </x:c>
      <x:c r="D32" s="237" t="n">
        <x:v>1215.49</x:v>
      </x:c>
      <x:c r="E32" s="237" t="n">
        <x:v>1500</x:v>
      </x:c>
      <x:c r="F32" s="143" t="n">
        <x:v>5</x:v>
      </x:c>
      <x:c r="G32" s="143" t="n">
        <x:v>24</x:v>
      </x:c>
      <x:c r="H32" s="143" t="n">
        <x:v>16</x:v>
      </x:c>
      <x:c r="I32" s="503"/>
      <x:c r="J32" s="503"/>
      <x:c r="K32" s="503"/>
      <x:c r="L32" s="503"/>
      <x:c r="M32" s="503"/>
      <x:c r="N32" s="503"/>
      <x:c r="O32" s="503"/>
      <x:c r="P32" s="503"/>
      <x:c r="Q32" s="510"/>
      <x:c r="R32" s="513"/>
      <x:c r="S32" s="502"/>
    </x:row>
    <x:row r="33" ht="22" customHeight="1">
      <x:c r="A33" s="142" t="str">
        <x:v>ORD-0048</x:v>
      </x:c>
      <x:c r="B33" s="143" t="str">
        <x:v>Amman|Mobile|C41012|MIG</x:v>
      </x:c>
      <x:c r="C33" s="143" t="n">
        <x:v>10886</x:v>
      </x:c>
      <x:c r="D33" s="237" t="n">
        <x:v>973.9</x:v>
      </x:c>
      <x:c r="E33" s="237" t="n">
        <x:v>1200</x:v>
      </x:c>
      <x:c r="F33" s="143" t="n">
        <x:v>7</x:v>
      </x:c>
      <x:c r="G33" s="143" t="n">
        <x:v>4</x:v>
      </x:c>
      <x:c r="H33" s="143" t="n">
        <x:v>22</x:v>
      </x:c>
      <x:c r="I33" s="503"/>
      <x:c r="J33" s="503"/>
      <x:c r="K33" s="503"/>
      <x:c r="L33" s="503"/>
      <x:c r="M33" s="503"/>
      <x:c r="N33" s="503"/>
      <x:c r="O33" s="503"/>
      <x:c r="P33" s="503"/>
      <x:c r="Q33" s="510"/>
      <x:c r="R33" s="513"/>
      <x:c r="S33" s="502"/>
    </x:row>
    <x:row r="34" ht="22" customHeight="1">
      <x:c r="A34" s="145" t="str">
        <x:v>ORD-0061</x:v>
      </x:c>
      <x:c r="B34" s="146" t="str">
        <x:v>Aqaba|Mobile|C41010|UPG</x:v>
      </x:c>
      <x:c r="C34" s="146" t="n">
        <x:v>30447</x:v>
      </x:c>
      <x:c r="D34" s="238" t="n">
        <x:v>1311.3</x:v>
      </x:c>
      <x:c r="E34" s="238" t="n">
        <x:v>1200</x:v>
      </x:c>
      <x:c r="F34" s="146" t="n">
        <x:v>4</x:v>
      </x:c>
      <x:c r="G34" s="146" t="n">
        <x:v>24</x:v>
      </x:c>
      <x:c r="H34" s="146" t="n">
        <x:v>34</x:v>
      </x:c>
      <x:c r="I34" s="506"/>
      <x:c r="J34" s="506"/>
      <x:c r="K34" s="506"/>
      <x:c r="L34" s="506"/>
      <x:c r="M34" s="506"/>
      <x:c r="N34" s="506"/>
      <x:c r="O34" s="506"/>
      <x:c r="P34" s="506"/>
      <x:c r="Q34" s="511"/>
      <x:c r="R34" s="514"/>
      <x:c r="S34" s="502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</x:row>
    <x:row r="37" ht="21" customHeight="1">
      <x:c r="A37" s="268" t="str">
        <x:v>TASK 5 • ESCALATION RULE
Create an extra result in S? No — use the mini-console below to avoid making this table too wide.</x:v>
      </x:c>
      <x:c r="B37" s="268"/>
      <x:c r="C37" s="268"/>
      <x:c r="D37" s="268"/>
      <x:c r="E37" s="268"/>
      <x:c r="F37" s="268"/>
      <x:c r="G37" s="268"/>
      <x:c r="H37" s="268"/>
      <x:c r="I37" s="4"/>
      <x:c r="J37" s="4"/>
      <x:c r="K37" s="4"/>
      <x:c r="L37" s="4"/>
      <x:c r="M37" s="4"/>
      <x:c r="N37" s="4"/>
      <x:c r="O37" s="4"/>
      <x:c r="P37" s="4"/>
      <x:c r="Q37" s="4"/>
      <x:c r="R37" s="4"/>
    </x:row>
    <x:row r="38" ht="21" customHeight="1">
      <x:c r="A38" s="268"/>
      <x:c r="B38" s="268"/>
      <x:c r="C38" s="268"/>
      <x:c r="D38" s="268"/>
      <x:c r="E38" s="268"/>
      <x:c r="F38" s="268"/>
      <x:c r="G38" s="268"/>
      <x:c r="H38" s="268"/>
      <x:c r="I38" s="4"/>
      <x:c r="J38" s="4"/>
      <x:c r="K38" s="4"/>
      <x:c r="L38" s="4"/>
      <x:c r="M38" s="4"/>
      <x:c r="N38" s="4"/>
      <x:c r="O38" s="4"/>
      <x:c r="P38" s="4"/>
      <x:c r="Q38" s="4"/>
      <x:c r="R38" s="4"/>
    </x:row>
    <x:row r="39" ht="21" customHeight="1">
      <x:c r="A39" s="268"/>
      <x:c r="B39" s="268"/>
      <x:c r="C39" s="268"/>
      <x:c r="D39" s="268"/>
      <x:c r="E39" s="268"/>
      <x:c r="F39" s="268"/>
      <x:c r="G39" s="268"/>
      <x:c r="H39" s="268"/>
      <x:c r="I39" s="4"/>
      <x:c r="J39" s="4"/>
      <x:c r="K39" s="4"/>
      <x:c r="L39" s="4"/>
      <x:c r="M39" s="4"/>
      <x:c r="N39" s="4"/>
      <x:c r="O39" s="4"/>
      <x:c r="P39" s="4"/>
      <x:c r="Q39" s="4"/>
      <x:c r="R39" s="4"/>
    </x:row>
    <x:row r="40" ht="21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</x:row>
    <x:row r="41" ht="21" customHeight="1">
      <x:c r="A41" s="117" t="str">
        <x:v>Order ID</x:v>
      </x:c>
      <x:c r="B41" s="118" t="str">
        <x:v>Account Status</x:v>
      </x:c>
      <x:c r="C41" s="118" t="str">
        <x:v>Tickets</x:v>
      </x:c>
      <x:c r="D41" s="118" t="str">
        <x:v>SLA Hours</x:v>
      </x:c>
      <x:c r="E41" s="118" t="str">
        <x:v>Resolution Hours</x:v>
      </x:c>
      <x:c r="F41" s="119" t="str">
        <x:v>Escalate?</x:v>
      </x:c>
      <x:c r="G41" s="4"/>
      <x:c r="H41" s="117" t="str">
        <x:v>Resolution</x:v>
      </x:c>
      <x:c r="I41" s="118" t="str">
        <x:v>SLA</x:v>
      </x:c>
      <x:c r="J41" s="118" t="str">
        <x:v>Safe Ratio</x:v>
      </x:c>
      <x:c r="K41" s="119" t="str">
        <x:v>Use</x:v>
      </x:c>
      <x:c r="L41" s="4"/>
      <x:c r="M41" s="4"/>
      <x:c r="N41" s="4"/>
      <x:c r="O41" s="4"/>
      <x:c r="P41" s="4"/>
      <x:c r="Q41" s="4"/>
      <x:c r="R41" s="4"/>
    </x:row>
    <x:row r="42" ht="21" customHeight="1">
      <x:c r="A42" s="139" t="str">
        <x:v>ORD-0001</x:v>
      </x:c>
      <x:c r="B42" s="140" t="str">
        <x:v>Pending</x:v>
      </x:c>
      <x:c r="C42" s="140" t="n">
        <x:v>0</x:v>
      </x:c>
      <x:c r="D42" s="140" t="n">
        <x:v>12</x:v>
      </x:c>
      <x:c r="E42" s="140" t="n">
        <x:v>17</x:v>
      </x:c>
      <x:c r="F42" s="208"/>
      <x:c r="G42" s="4"/>
      <x:c r="H42" s="139" t="n">
        <x:v>17</x:v>
      </x:c>
      <x:c r="I42" s="140" t="n">
        <x:v>12</x:v>
      </x:c>
      <x:c r="J42" s="286"/>
      <x:c r="K42" s="141" t="str">
        <x:v>IFERROR</x:v>
      </x:c>
      <x:c r="L42" s="4"/>
      <x:c r="M42" s="4"/>
      <x:c r="N42" s="4"/>
      <x:c r="O42" s="4"/>
      <x:c r="P42" s="4"/>
      <x:c r="Q42" s="4"/>
      <x:c r="R42" s="4"/>
    </x:row>
    <x:row r="43" ht="21" customHeight="1">
      <x:c r="A43" s="142" t="str">
        <x:v>ORD-0002</x:v>
      </x:c>
      <x:c r="B43" s="143" t="str">
        <x:v>Suspended</x:v>
      </x:c>
      <x:c r="C43" s="143" t="n">
        <x:v>7</x:v>
      </x:c>
      <x:c r="D43" s="143" t="n">
        <x:v>12</x:v>
      </x:c>
      <x:c r="E43" s="143" t="n">
        <x:v>1</x:v>
      </x:c>
      <x:c r="F43" s="209"/>
      <x:c r="G43" s="4"/>
      <x:c r="H43" s="142" t="n">
        <x:v>1</x:v>
      </x:c>
      <x:c r="I43" s="143" t="n">
        <x:v>12</x:v>
      </x:c>
      <x:c r="J43" s="287"/>
      <x:c r="K43" s="144" t="str">
        <x:v>IFERROR</x:v>
      </x:c>
      <x:c r="L43" s="4"/>
      <x:c r="M43" s="4"/>
      <x:c r="N43" s="4"/>
      <x:c r="O43" s="4"/>
      <x:c r="P43" s="4"/>
      <x:c r="Q43" s="4"/>
      <x:c r="R43" s="4"/>
    </x:row>
    <x:row r="44" ht="21" customHeight="1">
      <x:c r="A44" s="142" t="str">
        <x:v>ORD-0003</x:v>
      </x:c>
      <x:c r="B44" s="143" t="str">
        <x:v>Active</x:v>
      </x:c>
      <x:c r="C44" s="143" t="n">
        <x:v>3</x:v>
      </x:c>
      <x:c r="D44" s="143" t="n">
        <x:v>12</x:v>
      </x:c>
      <x:c r="E44" s="143" t="n">
        <x:v>14</x:v>
      </x:c>
      <x:c r="F44" s="209"/>
      <x:c r="G44" s="4"/>
      <x:c r="H44" s="142" t="n">
        <x:v>14</x:v>
      </x:c>
      <x:c r="I44" s="143" t="n">
        <x:v>12</x:v>
      </x:c>
      <x:c r="J44" s="287"/>
      <x:c r="K44" s="144" t="str">
        <x:v>IFERROR</x:v>
      </x:c>
      <x:c r="L44" s="4"/>
      <x:c r="M44" s="4"/>
      <x:c r="N44" s="4"/>
      <x:c r="O44" s="4"/>
      <x:c r="P44" s="4"/>
      <x:c r="Q44" s="4"/>
      <x:c r="R44" s="4"/>
    </x:row>
    <x:row r="45" ht="21" customHeight="1">
      <x:c r="A45" s="142" t="str">
        <x:v>ORD-0004</x:v>
      </x:c>
      <x:c r="B45" s="143" t="str">
        <x:v>Active</x:v>
      </x:c>
      <x:c r="C45" s="143" t="n">
        <x:v>0</x:v>
      </x:c>
      <x:c r="D45" s="143" t="n">
        <x:v>8</x:v>
      </x:c>
      <x:c r="E45" s="143" t="n">
        <x:v>2</x:v>
      </x:c>
      <x:c r="F45" s="209"/>
      <x:c r="G45" s="4"/>
      <x:c r="H45" s="142" t="n">
        <x:v>2</x:v>
      </x:c>
      <x:c r="I45" s="143" t="n">
        <x:v>0</x:v>
      </x:c>
      <x:c r="J45" s="287"/>
      <x:c r="K45" s="144" t="str">
        <x:v>IFERROR</x:v>
      </x:c>
      <x:c r="L45" s="4"/>
      <x:c r="M45" s="4"/>
      <x:c r="N45" s="4"/>
      <x:c r="O45" s="4"/>
      <x:c r="P45" s="4"/>
      <x:c r="Q45" s="4"/>
      <x:c r="R45" s="4"/>
    </x:row>
    <x:row r="46" ht="21" customHeight="1">
      <x:c r="A46" s="142" t="str">
        <x:v>ORD-0005</x:v>
      </x:c>
      <x:c r="B46" s="143" t="str">
        <x:v>Suspended</x:v>
      </x:c>
      <x:c r="C46" s="143" t="n">
        <x:v>12</x:v>
      </x:c>
      <x:c r="D46" s="143" t="n">
        <x:v>4</x:v>
      </x:c>
      <x:c r="E46" s="143" t="n">
        <x:v>18</x:v>
      </x:c>
      <x:c r="F46" s="209"/>
      <x:c r="G46" s="4"/>
      <x:c r="H46" s="142" t="n">
        <x:v>18</x:v>
      </x:c>
      <x:c r="I46" s="143" t="n">
        <x:v>4</x:v>
      </x:c>
      <x:c r="J46" s="287"/>
      <x:c r="K46" s="144" t="str">
        <x:v>IFERROR</x:v>
      </x:c>
      <x:c r="L46" s="4"/>
      <x:c r="M46" s="4"/>
      <x:c r="N46" s="4"/>
      <x:c r="O46" s="4"/>
      <x:c r="P46" s="4"/>
      <x:c r="Q46" s="4"/>
      <x:c r="R46" s="4"/>
    </x:row>
    <x:row r="47" ht="21" customHeight="1">
      <x:c r="A47" s="142" t="str">
        <x:v>ORD-0006</x:v>
      </x:c>
      <x:c r="B47" s="143" t="str">
        <x:v>Active</x:v>
      </x:c>
      <x:c r="C47" s="143" t="n">
        <x:v>1</x:v>
      </x:c>
      <x:c r="D47" s="143" t="n">
        <x:v>12</x:v>
      </x:c>
      <x:c r="E47" s="143" t="n">
        <x:v>36</x:v>
      </x:c>
      <x:c r="F47" s="209"/>
      <x:c r="G47" s="4"/>
      <x:c r="H47" s="142" t="n">
        <x:v>36</x:v>
      </x:c>
      <x:c r="I47" s="143" t="n">
        <x:v>12</x:v>
      </x:c>
      <x:c r="J47" s="287"/>
      <x:c r="K47" s="144" t="str">
        <x:v>IFERROR</x:v>
      </x:c>
      <x:c r="L47" s="4"/>
      <x:c r="M47" s="4"/>
      <x:c r="N47" s="4"/>
      <x:c r="O47" s="4"/>
      <x:c r="P47" s="4"/>
      <x:c r="Q47" s="4"/>
      <x:c r="R47" s="4"/>
    </x:row>
    <x:row r="48" ht="21" customHeight="1">
      <x:c r="A48" s="142" t="str">
        <x:v>ORD-0007</x:v>
      </x:c>
      <x:c r="B48" s="143" t="str">
        <x:v>Active</x:v>
      </x:c>
      <x:c r="C48" s="143" t="n">
        <x:v>8</x:v>
      </x:c>
      <x:c r="D48" s="143" t="n">
        <x:v>4</x:v>
      </x:c>
      <x:c r="E48" s="143" t="n">
        <x:v>21</x:v>
      </x:c>
      <x:c r="F48" s="209"/>
      <x:c r="G48" s="4"/>
      <x:c r="H48" s="142" t="n">
        <x:v>21</x:v>
      </x:c>
      <x:c r="I48" s="143" t="n">
        <x:v>4</x:v>
      </x:c>
      <x:c r="J48" s="287"/>
      <x:c r="K48" s="144" t="str">
        <x:v>IFERROR</x:v>
      </x:c>
      <x:c r="L48" s="4"/>
      <x:c r="M48" s="4"/>
      <x:c r="N48" s="4"/>
      <x:c r="O48" s="4"/>
      <x:c r="P48" s="4"/>
      <x:c r="Q48" s="4"/>
      <x:c r="R48" s="4"/>
    </x:row>
    <x:row r="49">
      <x:c r="A49" s="145" t="str">
        <x:v>ORD-0008</x:v>
      </x:c>
      <x:c r="B49" s="146" t="str">
        <x:v>Active</x:v>
      </x:c>
      <x:c r="C49" s="146" t="n">
        <x:v>10</x:v>
      </x:c>
      <x:c r="D49" s="146" t="n">
        <x:v>12</x:v>
      </x:c>
      <x:c r="E49" s="146" t="n">
        <x:v>15</x:v>
      </x:c>
      <x:c r="F49" s="210"/>
      <x:c r="H49" s="145" t="n">
        <x:v>15</x:v>
      </x:c>
      <x:c r="I49" s="146" t="n">
        <x:v>12</x:v>
      </x:c>
      <x:c r="J49" s="288"/>
      <x:c r="K49" s="147" t="str">
        <x:v>IFERROR</x:v>
      </x:c>
    </x:row>
  </x:sheetData>
  <x:mergeCells>
    <x:mergeCell ref="A37:H39"/>
    <x:mergeCell ref="A1:S2"/>
    <x:mergeCell ref="A3:S3"/>
    <x:mergeCell ref="A5:S6"/>
    <x:mergeCell ref="A7:S8"/>
  </x:mergeCells>
  <x:conditionalFormatting sqref="M11:M34">
    <x:cfRule type="expression" dxfId="1" priority="1">
      <x:formula>M11="Review Type"</x:formula>
    </x:cfRule>
  </x:conditionalFormatting>
  <x:conditionalFormatting sqref="F42:F49">
    <x:cfRule type="expression" dxfId="4" priority="4">
      <x:formula>F42="Escalate"</x:formula>
    </x:cfRule>
  </x:conditionalFormatting>
  <x:conditionalFormatting sqref="S11:S34">
    <x:cfRule type="expression" dxfId="7" priority="5">
      <x:formula>S11="Critical"</x:formula>
    </x:cfRule>
    <x:cfRule type="expression" dxfId="8" priority="6">
      <x:formula>S11="Exceptional"</x:formula>
    </x:cfRule>
  </x:conditionalFormatting>
  <x:dataValidations count="11">
    <x:dataValidation allowBlank="1" showInputMessage="1" promptTitle="Region" prompt="Extract first field from Composite Key.&#10;استخرج أول حقل." sqref="I10"/>
    <x:dataValidation allowBlank="1" showInputMessage="1" promptTitle="Service" prompt="Extract service from Composite Key.&#10;استخرج الخدمة." sqref="J10"/>
    <x:dataValidation allowBlank="1" showInputMessage="1" promptTitle="Customer ID" prompt="Extract customer identifier.&#10;استخرج رقم العميل." sqref="K10"/>
    <x:dataValidation allowBlank="1" showInputMessage="1" promptTitle="Order Type" prompt="Extract order type code.&#10;استخرج نوع الطلب." sqref="L10"/>
    <x:dataValidation allowBlank="1" showInputMessage="1" promptTitle="Type Flag" prompt="Use ISTEXT/ISNONTEXT to create a business flag.&#10;استخدم فحص النوع لإنشاء نتيجة واضحة." sqref="M10"/>
    <x:dataValidation allowBlank="1" showInputMessage="1" promptTitle="Plan" prompt="Lookup from Customer Master.&#10;ابحث عن الباقة في Customer Master." sqref="N10"/>
    <x:dataValidation allowBlank="1" showInputMessage="1" promptTitle="Account Manager" prompt="Lookup from Customer Master.&#10;ابحث عن مسؤول الحساب." sqref="O10"/>
    <x:dataValidation allowBlank="1" showInputMessage="1" promptTitle="Account Status" prompt="Lookup from Customer Master.&#10;ابحث عن حالة الحساب." sqref="P10"/>
    <x:dataValidation allowBlank="1" showInputMessage="1" promptTitle="Monthly Fee" prompt="Return Monthly Fee from Customer Master.&#10;أرجع الرسوم الشهرية من Customer Master." sqref="Q10"/>
    <x:dataValidation allowBlank="1" showInputMessage="1" promptTitle="Achievement %" prompt="Revenue / Target.&#10;الإيراد ÷ المستهدف." sqref="R10"/>
    <x:dataValidation allowBlank="1" showInputMessage="1" promptTitle="Performance Tier" prompt="IFS: ≥110 Exceptional, ≥100 Achieved, ≥85 Watch, else Critical.&#10;تصنيف الأداء باستخدام IFS." sqref="S10"/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1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</x:cols>
  <x:sheetData>
    <x:row r="1" ht="21" customHeight="1">
      <x:c r="A1" s="220" t="str">
        <x:v>WORKSPACE B  •  DATE INTELLIGENCE</x:v>
      </x:c>
      <x:c r="B1" s="220"/>
      <x:c r="C1" s="220"/>
      <x:c r="D1" s="220"/>
      <x:c r="E1" s="220"/>
      <x:c r="F1" s="220"/>
      <x:c r="G1" s="220"/>
      <x:c r="H1" s="220"/>
      <x:c r="I1" s="220"/>
      <x:c r="J1" s="220"/>
    </x:row>
    <x:row r="2" ht="21" customHeight="1">
      <x:c r="A2" s="220"/>
      <x:c r="B2" s="220"/>
      <x:c r="C2" s="220"/>
      <x:c r="D2" s="220"/>
      <x:c r="E2" s="220"/>
      <x:c r="F2" s="220"/>
      <x:c r="G2" s="220"/>
      <x:c r="H2" s="220"/>
      <x:c r="I2" s="220"/>
      <x:c r="J2" s="220"/>
    </x:row>
    <x:row r="3" ht="21" customHeight="1">
      <x:c r="A3" s="21" t="str">
        <x:v>التواريخ كبيانات تشغيلية، مش مجرد شكل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94" t="str">
        <x:v>YOUR MISSION  •  Complete Year, Month, Business Days and SLA Status for all rows.</x:v>
      </x:c>
      <x:c r="B5" s="90"/>
      <x:c r="C5" s="90"/>
      <x:c r="D5" s="90"/>
      <x:c r="E5" s="90"/>
      <x:c r="F5" s="90"/>
      <x:c r="G5" s="90"/>
      <x:c r="H5" s="90"/>
      <x:c r="I5" s="90"/>
      <x:c r="J5" s="90"/>
    </x:row>
    <x:row r="6" ht="21" customHeight="1">
      <x:c r="A6" s="94"/>
      <x:c r="B6" s="90"/>
      <x:c r="C6" s="90"/>
      <x:c r="D6" s="90"/>
      <x:c r="E6" s="90"/>
      <x:c r="F6" s="90"/>
      <x:c r="G6" s="90"/>
      <x:c r="H6" s="90"/>
      <x:c r="I6" s="90"/>
      <x:c r="J6" s="90"/>
    </x:row>
    <x:row r="7" ht="21" customHeight="1">
      <x:c r="A7" s="98" t="str">
        <x:v>المطلوب منك  •  أكمل السنة والشهر وأيام العمل وحالة SLA لكل الصفوف.</x:v>
      </x:c>
      <x:c r="B7" s="98"/>
      <x:c r="C7" s="98"/>
      <x:c r="D7" s="98"/>
      <x:c r="E7" s="98"/>
      <x:c r="F7" s="98"/>
      <x:c r="G7" s="98"/>
      <x:c r="H7" s="98"/>
      <x:c r="I7" s="98"/>
      <x:c r="J7" s="102"/>
    </x:row>
    <x:row r="8" ht="21" customHeight="1">
      <x:c r="A8" s="98"/>
      <x:c r="B8" s="98"/>
      <x:c r="C8" s="98"/>
      <x:c r="D8" s="98"/>
      <x:c r="E8" s="98"/>
      <x:c r="F8" s="98"/>
      <x:c r="G8" s="98"/>
      <x:c r="H8" s="98"/>
      <x:c r="I8" s="98"/>
      <x:c r="J8" s="102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 ht="21" customHeight="1">
      <x:c r="A10" s="117" t="str">
        <x:v>Order ID</x:v>
      </x:c>
      <x:c r="B10" s="118" t="str">
        <x:v>Start Date</x:v>
      </x:c>
      <x:c r="C10" s="118" t="str">
        <x:v>Due Date</x:v>
      </x:c>
      <x:c r="D10" s="118" t="str">
        <x:v>Close Date</x:v>
      </x:c>
      <x:c r="E10" s="118" t="str">
        <x:v>Priority</x:v>
      </x:c>
      <x:c r="F10" s="118" t="str">
        <x:v>Year</x:v>
      </x:c>
      <x:c r="G10" s="118" t="str">
        <x:v>Month</x:v>
      </x:c>
      <x:c r="H10" s="118" t="str">
        <x:v>Business Days</x:v>
      </x:c>
      <x:c r="I10" s="118" t="str">
        <x:v>SLA Status</x:v>
      </x:c>
      <x:c r="J10" s="119" t="str">
        <x:v>Calendar Days</x:v>
      </x:c>
    </x:row>
    <x:row r="11" ht="21" customHeight="1">
      <x:c r="A11" s="139" t="str">
        <x:v>ORD-0001</x:v>
      </x:c>
      <x:c r="B11" s="230" t="n">
        <x:v>46063</x:v>
      </x:c>
      <x:c r="C11" s="230" t="n">
        <x:v>46069</x:v>
      </x:c>
      <x:c r="D11" s="230" t="n">
        <x:v>46072</x:v>
      </x:c>
      <x:c r="E11" s="140" t="str">
        <x:v>Medium</x:v>
      </x:c>
      <x:c r="F11" s="254"/>
      <x:c r="G11" s="254"/>
      <x:c r="H11" s="292"/>
      <x:c r="I11" s="254"/>
      <x:c r="J11" s="298"/>
    </x:row>
    <x:row r="12" ht="21" customHeight="1">
      <x:c r="A12" s="142" t="str">
        <x:v>ORD-0002</x:v>
      </x:c>
      <x:c r="B12" s="231" t="n">
        <x:v>46139</x:v>
      </x:c>
      <x:c r="C12" s="231" t="n">
        <x:v>46145</x:v>
      </x:c>
      <x:c r="D12" s="231" t="n">
        <x:v>46146</x:v>
      </x:c>
      <x:c r="E12" s="143" t="str">
        <x:v>Medium</x:v>
      </x:c>
      <x:c r="F12" s="256"/>
      <x:c r="G12" s="256"/>
      <x:c r="H12" s="293"/>
      <x:c r="I12" s="256"/>
      <x:c r="J12" s="299"/>
    </x:row>
    <x:row r="13" ht="21" customHeight="1">
      <x:c r="A13" s="142" t="str">
        <x:v>ORD-0003</x:v>
      </x:c>
      <x:c r="B13" s="231" t="n">
        <x:v>46102</x:v>
      </x:c>
      <x:c r="C13" s="231" t="n">
        <x:v>46105</x:v>
      </x:c>
      <x:c r="D13" s="231" t="n">
        <x:v>46108</x:v>
      </x:c>
      <x:c r="E13" s="143" t="str">
        <x:v>High</x:v>
      </x:c>
      <x:c r="F13" s="256"/>
      <x:c r="G13" s="256"/>
      <x:c r="H13" s="293"/>
      <x:c r="I13" s="256"/>
      <x:c r="J13" s="299"/>
    </x:row>
    <x:row r="14" ht="21" customHeight="1">
      <x:c r="A14" s="142" t="str">
        <x:v>ORD-0004</x:v>
      </x:c>
      <x:c r="B14" s="231" t="n">
        <x:v>46031</x:v>
      </x:c>
      <x:c r="C14" s="231" t="n">
        <x:v>46035</x:v>
      </x:c>
      <x:c r="D14" s="231" t="n">
        <x:v>46038</x:v>
      </x:c>
      <x:c r="E14" s="143" t="str">
        <x:v>Medium</x:v>
      </x:c>
      <x:c r="F14" s="256"/>
      <x:c r="G14" s="256"/>
      <x:c r="H14" s="293"/>
      <x:c r="I14" s="256"/>
      <x:c r="J14" s="299"/>
    </x:row>
    <x:row r="15" ht="21" customHeight="1">
      <x:c r="A15" s="142" t="str">
        <x:v>ORD-0005</x:v>
      </x:c>
      <x:c r="B15" s="231" t="n">
        <x:v>46159</x:v>
      </x:c>
      <x:c r="C15" s="231" t="n">
        <x:v>46163</x:v>
      </x:c>
      <x:c r="D15" s="231" t="n">
        <x:v>46162</x:v>
      </x:c>
      <x:c r="E15" s="143" t="str">
        <x:v>Medium</x:v>
      </x:c>
      <x:c r="F15" s="256"/>
      <x:c r="G15" s="256"/>
      <x:c r="H15" s="293"/>
      <x:c r="I15" s="256"/>
      <x:c r="J15" s="299"/>
    </x:row>
    <x:row r="16" ht="21" customHeight="1">
      <x:c r="A16" s="142" t="str">
        <x:v>ORD-0006</x:v>
      </x:c>
      <x:c r="B16" s="231" t="n">
        <x:v>46207</x:v>
      </x:c>
      <x:c r="C16" s="231" t="n">
        <x:v>46211</x:v>
      </x:c>
      <x:c r="D16" s="231" t="n">
        <x:v>46211</x:v>
      </x:c>
      <x:c r="E16" s="143" t="str">
        <x:v>High</x:v>
      </x:c>
      <x:c r="F16" s="256"/>
      <x:c r="G16" s="256"/>
      <x:c r="H16" s="293"/>
      <x:c r="I16" s="256"/>
      <x:c r="J16" s="299"/>
    </x:row>
    <x:row r="17" ht="21" customHeight="1">
      <x:c r="A17" s="142" t="str">
        <x:v>ORD-0007</x:v>
      </x:c>
      <x:c r="B17" s="231" t="n">
        <x:v>46042</x:v>
      </x:c>
      <x:c r="C17" s="231" t="n">
        <x:v>46046</x:v>
      </x:c>
      <x:c r="D17" s="231" t="n">
        <x:v>46049</x:v>
      </x:c>
      <x:c r="E17" s="143" t="str">
        <x:v>Medium</x:v>
      </x:c>
      <x:c r="F17" s="256"/>
      <x:c r="G17" s="256"/>
      <x:c r="H17" s="293"/>
      <x:c r="I17" s="256"/>
      <x:c r="J17" s="299"/>
    </x:row>
    <x:row r="18" ht="21" customHeight="1">
      <x:c r="A18" s="142" t="str">
        <x:v>ORD-0008</x:v>
      </x:c>
      <x:c r="B18" s="231" t="n">
        <x:v>46184</x:v>
      </x:c>
      <x:c r="C18" s="231" t="n">
        <x:v>46190</x:v>
      </x:c>
      <x:c r="D18" s="231" t="n">
        <x:v>46194</x:v>
      </x:c>
      <x:c r="E18" s="143" t="str">
        <x:v>Low</x:v>
      </x:c>
      <x:c r="F18" s="256"/>
      <x:c r="G18" s="256"/>
      <x:c r="H18" s="293"/>
      <x:c r="I18" s="256"/>
      <x:c r="J18" s="299"/>
    </x:row>
    <x:row r="19" ht="21" customHeight="1">
      <x:c r="A19" s="142" t="str">
        <x:v>ORD-0009</x:v>
      </x:c>
      <x:c r="B19" s="231" t="n">
        <x:v>46085</x:v>
      </x:c>
      <x:c r="C19" s="231" t="n">
        <x:v>46091</x:v>
      </x:c>
      <x:c r="D19" s="231" t="n">
        <x:v>46093</x:v>
      </x:c>
      <x:c r="E19" s="143" t="str">
        <x:v>Medium</x:v>
      </x:c>
      <x:c r="F19" s="256"/>
      <x:c r="G19" s="256"/>
      <x:c r="H19" s="293"/>
      <x:c r="I19" s="256"/>
      <x:c r="J19" s="299"/>
    </x:row>
    <x:row r="20" ht="21" customHeight="1">
      <x:c r="A20" s="142" t="str">
        <x:v>ORD-0010</x:v>
      </x:c>
      <x:c r="B20" s="231" t="n">
        <x:v>46144</x:v>
      </x:c>
      <x:c r="C20" s="231" t="n">
        <x:v>46150</x:v>
      </x:c>
      <x:c r="D20" s="231" t="n">
        <x:v>46153</x:v>
      </x:c>
      <x:c r="E20" s="143" t="str">
        <x:v>Low</x:v>
      </x:c>
      <x:c r="F20" s="256"/>
      <x:c r="G20" s="256"/>
      <x:c r="H20" s="293"/>
      <x:c r="I20" s="256"/>
      <x:c r="J20" s="299"/>
    </x:row>
    <x:row r="21" ht="21" customHeight="1">
      <x:c r="A21" s="142" t="str">
        <x:v>ORD-0011</x:v>
      </x:c>
      <x:c r="B21" s="231" t="n">
        <x:v>46167</x:v>
      </x:c>
      <x:c r="C21" s="231" t="n">
        <x:v>46173</x:v>
      </x:c>
      <x:c r="D21" s="231" t="n">
        <x:v>46173</x:v>
      </x:c>
      <x:c r="E21" s="143" t="str">
        <x:v>Low</x:v>
      </x:c>
      <x:c r="F21" s="256"/>
      <x:c r="G21" s="256"/>
      <x:c r="H21" s="293"/>
      <x:c r="I21" s="256"/>
      <x:c r="J21" s="299"/>
    </x:row>
    <x:row r="22" ht="21" customHeight="1">
      <x:c r="A22" s="142" t="str">
        <x:v>ORD-0012</x:v>
      </x:c>
      <x:c r="B22" s="231" t="n">
        <x:v>46206</x:v>
      </x:c>
      <x:c r="C22" s="231" t="n">
        <x:v>46212</x:v>
      </x:c>
      <x:c r="D22" s="231" t="n">
        <x:v>46214</x:v>
      </x:c>
      <x:c r="E22" s="143" t="str">
        <x:v>Medium</x:v>
      </x:c>
      <x:c r="F22" s="256"/>
      <x:c r="G22" s="256"/>
      <x:c r="H22" s="293"/>
      <x:c r="I22" s="256"/>
      <x:c r="J22" s="299"/>
    </x:row>
    <x:row r="23" ht="21" customHeight="1">
      <x:c r="A23" s="142" t="str">
        <x:v>ORD-0013</x:v>
      </x:c>
      <x:c r="B23" s="231" t="n">
        <x:v>46071</x:v>
      </x:c>
      <x:c r="C23" s="231" t="n">
        <x:v>46075</x:v>
      </x:c>
      <x:c r="D23" s="231" t="n">
        <x:v>46079</x:v>
      </x:c>
      <x:c r="E23" s="143" t="str">
        <x:v>High</x:v>
      </x:c>
      <x:c r="F23" s="256"/>
      <x:c r="G23" s="256"/>
      <x:c r="H23" s="293"/>
      <x:c r="I23" s="256"/>
      <x:c r="J23" s="299"/>
    </x:row>
    <x:row r="24" ht="21" customHeight="1">
      <x:c r="A24" s="142" t="str">
        <x:v>ORD-0014</x:v>
      </x:c>
      <x:c r="B24" s="231" t="n">
        <x:v>46170</x:v>
      </x:c>
      <x:c r="C24" s="231" t="n">
        <x:v>46172</x:v>
      </x:c>
      <x:c r="D24" s="231" t="n">
        <x:v>46174</x:v>
      </x:c>
      <x:c r="E24" s="143" t="str">
        <x:v>High</x:v>
      </x:c>
      <x:c r="F24" s="256"/>
      <x:c r="G24" s="256"/>
      <x:c r="H24" s="293"/>
      <x:c r="I24" s="256"/>
      <x:c r="J24" s="299"/>
    </x:row>
    <x:row r="25" ht="21" customHeight="1">
      <x:c r="A25" s="142" t="str">
        <x:v>ORD-0015</x:v>
      </x:c>
      <x:c r="B25" s="231" t="n">
        <x:v>46183</x:v>
      </x:c>
      <x:c r="C25" s="231" t="n">
        <x:v>46189</x:v>
      </x:c>
      <x:c r="D25" s="231" t="n">
        <x:v>46188</x:v>
      </x:c>
      <x:c r="E25" s="143" t="str">
        <x:v>Medium</x:v>
      </x:c>
      <x:c r="F25" s="256"/>
      <x:c r="G25" s="256"/>
      <x:c r="H25" s="293"/>
      <x:c r="I25" s="256"/>
      <x:c r="J25" s="299"/>
    </x:row>
    <x:row r="26" ht="21" customHeight="1">
      <x:c r="A26" s="142" t="str">
        <x:v>ORD-0016</x:v>
      </x:c>
      <x:c r="B26" s="231" t="n">
        <x:v>46161</x:v>
      </x:c>
      <x:c r="C26" s="231" t="n">
        <x:v>46167</x:v>
      </x:c>
      <x:c r="D26" s="231" t="n">
        <x:v>46166</x:v>
      </x:c>
      <x:c r="E26" s="143" t="str">
        <x:v>Medium</x:v>
      </x:c>
      <x:c r="F26" s="256"/>
      <x:c r="G26" s="256"/>
      <x:c r="H26" s="293"/>
      <x:c r="I26" s="256"/>
      <x:c r="J26" s="299"/>
    </x:row>
    <x:row r="27" ht="21" customHeight="1">
      <x:c r="A27" s="142" t="str">
        <x:v>ORD-0017</x:v>
      </x:c>
      <x:c r="B27" s="231" t="n">
        <x:v>46129</x:v>
      </x:c>
      <x:c r="C27" s="231" t="n">
        <x:v>46135</x:v>
      </x:c>
      <x:c r="D27" s="231" t="n">
        <x:v>46139</x:v>
      </x:c>
      <x:c r="E27" s="143" t="str">
        <x:v>Low</x:v>
      </x:c>
      <x:c r="F27" s="256"/>
      <x:c r="G27" s="256"/>
      <x:c r="H27" s="293"/>
      <x:c r="I27" s="256"/>
      <x:c r="J27" s="299"/>
    </x:row>
    <x:row r="28" ht="21" customHeight="1">
      <x:c r="A28" s="142" t="str">
        <x:v>ORD-0018</x:v>
      </x:c>
      <x:c r="B28" s="231" t="n">
        <x:v>46194</x:v>
      </x:c>
      <x:c r="C28" s="231" t="n">
        <x:v>46201</x:v>
      </x:c>
      <x:c r="D28" s="231" t="n">
        <x:v>46200</x:v>
      </x:c>
      <x:c r="E28" s="143" t="str">
        <x:v>Low</x:v>
      </x:c>
      <x:c r="F28" s="256"/>
      <x:c r="G28" s="256"/>
      <x:c r="H28" s="293"/>
      <x:c r="I28" s="256"/>
      <x:c r="J28" s="299"/>
    </x:row>
    <x:row r="29" ht="21" customHeight="1">
      <x:c r="A29" s="142" t="str">
        <x:v>ORD-0019</x:v>
      </x:c>
      <x:c r="B29" s="231" t="n">
        <x:v>46079</x:v>
      </x:c>
      <x:c r="C29" s="231" t="n">
        <x:v>46083</x:v>
      </x:c>
      <x:c r="D29" s="231" t="n">
        <x:v>46087</x:v>
      </x:c>
      <x:c r="E29" s="143" t="str">
        <x:v>Medium</x:v>
      </x:c>
      <x:c r="F29" s="256"/>
      <x:c r="G29" s="256"/>
      <x:c r="H29" s="293"/>
      <x:c r="I29" s="256"/>
      <x:c r="J29" s="299"/>
    </x:row>
    <x:row r="30" ht="21" customHeight="1">
      <x:c r="A30" s="142" t="str">
        <x:v>ORD-0024</x:v>
      </x:c>
      <x:c r="B30" s="231" t="n">
        <x:v>46251</x:v>
      </x:c>
      <x:c r="C30" s="231" t="n">
        <x:v>46255</x:v>
      </x:c>
      <x:c r="D30" s="231" t="n">
        <x:v>46256</x:v>
      </x:c>
      <x:c r="E30" s="143" t="str">
        <x:v>Medium</x:v>
      </x:c>
      <x:c r="F30" s="256"/>
      <x:c r="G30" s="256"/>
      <x:c r="H30" s="293"/>
      <x:c r="I30" s="256"/>
      <x:c r="J30" s="299"/>
    </x:row>
    <x:row r="31" ht="21" customHeight="1">
      <x:c r="A31" s="142" t="str">
        <x:v>ORD-0032</x:v>
      </x:c>
      <x:c r="B31" s="231" t="n">
        <x:v>46031</x:v>
      </x:c>
      <x:c r="C31" s="231" t="n">
        <x:v>46036</x:v>
      </x:c>
      <x:c r="D31" s="231" t="n">
        <x:v>46039</x:v>
      </x:c>
      <x:c r="E31" s="143" t="str">
        <x:v>Medium</x:v>
      </x:c>
      <x:c r="F31" s="256"/>
      <x:c r="G31" s="256"/>
      <x:c r="H31" s="293"/>
      <x:c r="I31" s="256"/>
      <x:c r="J31" s="299"/>
    </x:row>
    <x:row r="32" ht="21" customHeight="1">
      <x:c r="A32" s="142" t="str">
        <x:v>ORD-0037</x:v>
      </x:c>
      <x:c r="B32" s="231" t="n">
        <x:v>46075</x:v>
      </x:c>
      <x:c r="C32" s="231" t="n">
        <x:v>46082</x:v>
      </x:c>
      <x:c r="D32" s="231" t="n">
        <x:v>46083</x:v>
      </x:c>
      <x:c r="E32" s="143" t="str">
        <x:v>Low</x:v>
      </x:c>
      <x:c r="F32" s="256"/>
      <x:c r="G32" s="256"/>
      <x:c r="H32" s="293"/>
      <x:c r="I32" s="256"/>
      <x:c r="J32" s="299"/>
    </x:row>
    <x:row r="33" ht="21" customHeight="1">
      <x:c r="A33" s="142" t="str">
        <x:v>ORD-0048</x:v>
      </x:c>
      <x:c r="B33" s="231" t="n">
        <x:v>46112</x:v>
      </x:c>
      <x:c r="C33" s="231" t="n">
        <x:v>46117</x:v>
      </x:c>
      <x:c r="D33" s="231" t="n">
        <x:v>46120</x:v>
      </x:c>
      <x:c r="E33" s="143" t="str">
        <x:v>Medium</x:v>
      </x:c>
      <x:c r="F33" s="256"/>
      <x:c r="G33" s="256"/>
      <x:c r="H33" s="293"/>
      <x:c r="I33" s="256"/>
      <x:c r="J33" s="299"/>
    </x:row>
    <x:row r="34" ht="21" customHeight="1">
      <x:c r="A34" s="145" t="str">
        <x:v>ORD-0061</x:v>
      </x:c>
      <x:c r="B34" s="232" t="n">
        <x:v>46133</x:v>
      </x:c>
      <x:c r="C34" s="232" t="n">
        <x:v>46141</x:v>
      </x:c>
      <x:c r="D34" s="232" t="n">
        <x:v>46143</x:v>
      </x:c>
      <x:c r="E34" s="146" t="str">
        <x:v>Low</x:v>
      </x:c>
      <x:c r="F34" s="258"/>
      <x:c r="G34" s="258"/>
      <x:c r="H34" s="294"/>
      <x:c r="I34" s="258"/>
      <x:c r="J34" s="300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21" customHeight="1">
      <x:c r="A37" s="305" t="str">
        <x:v>CHECK YOUR THINKING  •  Calendar Days and Business Days answer different questions. Do not assume the larger number is the correct KPI.</x:v>
      </x:c>
      <x:c r="B37" s="305"/>
      <x:c r="C37" s="305"/>
      <x:c r="D37" s="305"/>
      <x:c r="E37" s="305"/>
      <x:c r="F37" s="305"/>
      <x:c r="G37" s="305"/>
      <x:c r="H37" s="305"/>
      <x:c r="I37" s="305"/>
      <x:c r="J37" s="305"/>
    </x:row>
    <x:row r="38" ht="21" customHeight="1">
      <x:c r="A38" s="305"/>
      <x:c r="B38" s="305"/>
      <x:c r="C38" s="305"/>
      <x:c r="D38" s="305"/>
      <x:c r="E38" s="305"/>
      <x:c r="F38" s="305"/>
      <x:c r="G38" s="305"/>
      <x:c r="H38" s="305"/>
      <x:c r="I38" s="305"/>
      <x:c r="J38" s="305"/>
    </x:row>
    <x:row r="39" ht="21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21" customHeight="1">
      <x:c r="A40" s="98" t="str">
        <x:v>سؤال للنقاش  •  إذا عندكم Holidays رسمية، وين لازم تدخل في NETWORKDAYS؟</x:v>
      </x:c>
      <x:c r="B40" s="98"/>
      <x:c r="C40" s="98"/>
      <x:c r="D40" s="98"/>
      <x:c r="E40" s="98"/>
      <x:c r="F40" s="98"/>
      <x:c r="G40" s="98"/>
      <x:c r="H40" s="98"/>
      <x:c r="I40" s="98"/>
      <x:c r="J40" s="98"/>
    </x:row>
    <x:row r="41" ht="21" customHeight="1">
      <x:c r="A41" s="98"/>
      <x:c r="B41" s="98"/>
      <x:c r="C41" s="98"/>
      <x:c r="D41" s="98"/>
      <x:c r="E41" s="98"/>
      <x:c r="F41" s="98"/>
      <x:c r="G41" s="98"/>
      <x:c r="H41" s="98"/>
      <x:c r="I41" s="98"/>
      <x:c r="J41" s="98"/>
    </x:row>
    <x:row r="42" ht="21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21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21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21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21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</x:sheetData>
  <x:mergeCells>
    <x:mergeCell ref="A1:J2"/>
    <x:mergeCell ref="A3:J3"/>
    <x:mergeCell ref="A5:J6"/>
    <x:mergeCell ref="A7:J8"/>
    <x:mergeCell ref="A37:J38"/>
    <x:mergeCell ref="A40:J41"/>
  </x:mergeCells>
  <x:conditionalFormatting sqref="I11:I34">
    <x:cfRule type="expression" dxfId="5" priority="1">
      <x:formula>I11="Late"</x:formula>
    </x:cfRule>
    <x:cfRule type="expression" dxfId="6" priority="2">
      <x:formula>I11="On Time"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8" hidden="0" customWidth="1"/>
    <x:col min="4" max="4" width="20" hidden="0" customWidth="1"/>
    <x:col min="5" max="5" width="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" customHeight="1">
      <x:c r="A1" s="220" t="str">
        <x:v>MANAGEMENT CONSOLE  •  ANSWER WITHOUT MANUAL FILTERING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</x:row>
    <x:row r="2" ht="21" customHeight="1">
      <x:c r="A2" s="220"/>
      <x:c r="B2" s="220"/>
      <x:c r="C2" s="220"/>
      <x:c r="D2" s="220"/>
      <x:c r="E2" s="220"/>
      <x:c r="F2" s="220"/>
      <x:c r="G2" s="220"/>
      <x:c r="H2" s="220"/>
      <x:c r="I2" s="220"/>
      <x:c r="J2" s="220"/>
      <x:c r="K2" s="220"/>
      <x:c r="L2" s="220"/>
    </x:row>
    <x:row r="3" ht="21" customHeight="1">
      <x:c r="A3" s="21" t="str">
        <x:v>خلّي الشروط تتحكم بالجواب بدل ما تعيد الفلترة كل مرة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1" customHeight="1">
      <x:c r="A5" s="94" t="str">
        <x:v>YOUR MISSION  •  Build the dynamic lists and management answers. Change the yellow criteria to test whether your formulas adapt.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</x:row>
    <x:row r="6" ht="21" customHeight="1">
      <x:c r="A6" s="94"/>
      <x:c r="B6" s="90"/>
      <x:c r="C6" s="90"/>
      <x:c r="D6" s="90"/>
      <x:c r="E6" s="90"/>
      <x:c r="F6" s="90"/>
      <x:c r="G6" s="90"/>
      <x:c r="H6" s="90"/>
      <x:c r="I6" s="90"/>
      <x:c r="J6" s="90"/>
      <x:c r="K6" s="90"/>
      <x:c r="L6" s="90"/>
    </x:row>
    <x:row r="7" ht="21" customHeight="1">
      <x:c r="A7" s="98" t="str">
        <x:v>المطلوب منك  •  ابنِ القوائم الديناميكية والإجابات، وبعدها غيّر الشروط الصفراء وتأكد أن المعادلات تتكيف.</x:v>
      </x:c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102"/>
    </x:row>
    <x:row r="8" ht="21" customHeight="1">
      <x:c r="A8" s="98"/>
      <x:c r="B8" s="98"/>
      <x:c r="C8" s="98"/>
      <x:c r="D8" s="98"/>
      <x:c r="E8" s="98"/>
      <x:c r="F8" s="98"/>
      <x:c r="G8" s="98"/>
      <x:c r="H8" s="98"/>
      <x:c r="I8" s="98"/>
      <x:c r="J8" s="98"/>
      <x:c r="K8" s="98"/>
      <x:c r="L8" s="102"/>
    </x:row>
    <x:row r="9" ht="2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</x:row>
    <x:row r="10" ht="21" customHeight="1">
      <x:c r="A10" s="36" t="str">
        <x:v>DYNAMIC ARRAY 01  •  SORT + UNIQUE</x:v>
      </x:c>
      <x:c r="B10" s="36"/>
      <x:c r="C10" s="36"/>
      <x:c r="D10" s="36"/>
      <x:c r="E10" s="4"/>
      <x:c r="F10" s="36" t="str">
        <x:v>DYNAMIC ARRAY 02  •  FILTER ACTIVE CORPORATE CUSTOMERS</x:v>
      </x:c>
      <x:c r="G10" s="36"/>
      <x:c r="H10" s="36"/>
      <x:c r="I10" s="36"/>
      <x:c r="J10" s="36"/>
      <x:c r="K10" s="36"/>
      <x:c r="L10" s="36"/>
    </x:row>
    <x:row r="11" ht="21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</x:row>
    <x:row r="12" ht="21" customHeight="1">
      <x:c r="A12" s="4" t="str">
        <x:v>Build a sorted unique list of Services found in Workspace A</x:v>
      </x:c>
      <x:c r="B12" s="4"/>
      <x:c r="C12" s="4"/>
      <x:c r="D12" s="4"/>
      <x:c r="E12" s="4"/>
      <x:c r="F12" s="117" t="str">
        <x:v>Customer ID</x:v>
      </x:c>
      <x:c r="G12" s="118" t="str">
        <x:v>Customer Name</x:v>
      </x:c>
      <x:c r="H12" s="119" t="str">
        <x:v>Region</x:v>
      </x:c>
      <x:c r="I12" s="4"/>
      <x:c r="J12" s="4"/>
      <x:c r="K12" s="4"/>
      <x:c r="L12" s="4"/>
    </x:row>
    <x:row r="13" ht="21" customHeight="1">
      <x:c r="A13" s="310"/>
      <x:c r="B13" s="4"/>
      <x:c r="C13" s="4"/>
      <x:c r="D13" s="4"/>
      <x:c r="E13" s="4"/>
      <x:c r="F13" s="319"/>
      <x:c r="G13" s="320"/>
      <x:c r="H13" s="321"/>
      <x:c r="I13" s="4"/>
      <x:c r="J13" s="4"/>
      <x:c r="K13" s="4"/>
      <x:c r="L13" s="4"/>
    </x:row>
    <x:row r="14" ht="21" customHeight="1">
      <x:c r="A14" s="311"/>
      <x:c r="B14" s="4"/>
      <x:c r="C14" s="4"/>
      <x:c r="D14" s="4"/>
      <x:c r="E14" s="4"/>
      <x:c r="F14" s="322"/>
      <x:c r="G14" s="318"/>
      <x:c r="H14" s="323"/>
      <x:c r="I14" s="4"/>
      <x:c r="J14" s="4"/>
      <x:c r="K14" s="4"/>
      <x:c r="L14" s="4"/>
    </x:row>
    <x:row r="15" ht="21" customHeight="1">
      <x:c r="A15" s="311"/>
      <x:c r="B15" s="4"/>
      <x:c r="C15" s="4"/>
      <x:c r="D15" s="4"/>
      <x:c r="E15" s="4"/>
      <x:c r="F15" s="322"/>
      <x:c r="G15" s="318"/>
      <x:c r="H15" s="323"/>
      <x:c r="I15" s="4"/>
      <x:c r="J15" s="4"/>
      <x:c r="K15" s="4"/>
      <x:c r="L15" s="4"/>
    </x:row>
    <x:row r="16" ht="21" customHeight="1">
      <x:c r="A16" s="311"/>
      <x:c r="B16" s="4"/>
      <x:c r="C16" s="4"/>
      <x:c r="D16" s="4"/>
      <x:c r="E16" s="4"/>
      <x:c r="F16" s="322"/>
      <x:c r="G16" s="318"/>
      <x:c r="H16" s="323"/>
      <x:c r="I16" s="4"/>
      <x:c r="J16" s="4"/>
      <x:c r="K16" s="4"/>
      <x:c r="L16" s="4"/>
    </x:row>
    <x:row r="17" ht="21" customHeight="1">
      <x:c r="A17" s="311"/>
      <x:c r="B17" s="4"/>
      <x:c r="C17" s="4"/>
      <x:c r="D17" s="4"/>
      <x:c r="E17" s="4"/>
      <x:c r="F17" s="322"/>
      <x:c r="G17" s="318"/>
      <x:c r="H17" s="323"/>
      <x:c r="I17" s="4"/>
      <x:c r="J17" s="4"/>
      <x:c r="K17" s="4"/>
      <x:c r="L17" s="4"/>
    </x:row>
    <x:row r="18" ht="21" customHeight="1">
      <x:c r="A18" s="311"/>
      <x:c r="B18" s="4"/>
      <x:c r="C18" s="4"/>
      <x:c r="D18" s="4"/>
      <x:c r="E18" s="4"/>
      <x:c r="F18" s="322"/>
      <x:c r="G18" s="318"/>
      <x:c r="H18" s="323"/>
      <x:c r="I18" s="4"/>
      <x:c r="J18" s="4"/>
      <x:c r="K18" s="4"/>
      <x:c r="L18" s="4"/>
    </x:row>
    <x:row r="19" ht="21" customHeight="1">
      <x:c r="A19" s="311"/>
      <x:c r="B19" s="4"/>
      <x:c r="C19" s="4"/>
      <x:c r="D19" s="4"/>
      <x:c r="E19" s="4"/>
      <x:c r="F19" s="322"/>
      <x:c r="G19" s="318"/>
      <x:c r="H19" s="323"/>
      <x:c r="I19" s="4"/>
      <x:c r="J19" s="4"/>
      <x:c r="K19" s="4"/>
      <x:c r="L19" s="4"/>
    </x:row>
    <x:row r="20" ht="21" customHeight="1">
      <x:c r="A20" s="312"/>
      <x:c r="B20" s="4"/>
      <x:c r="C20" s="4"/>
      <x:c r="D20" s="4"/>
      <x:c r="E20" s="4"/>
      <x:c r="F20" s="322"/>
      <x:c r="G20" s="318"/>
      <x:c r="H20" s="323"/>
      <x:c r="I20" s="4"/>
      <x:c r="J20" s="4"/>
      <x:c r="K20" s="4"/>
      <x:c r="L20" s="4"/>
    </x:row>
    <x:row r="21" ht="21" customHeight="1">
      <x:c r="A21" s="4"/>
      <x:c r="B21" s="4"/>
      <x:c r="C21" s="4"/>
      <x:c r="D21" s="4"/>
      <x:c r="E21" s="4"/>
      <x:c r="F21" s="322"/>
      <x:c r="G21" s="318"/>
      <x:c r="H21" s="323"/>
      <x:c r="I21" s="4"/>
      <x:c r="J21" s="4"/>
      <x:c r="K21" s="4"/>
      <x:c r="L21" s="4"/>
    </x:row>
    <x:row r="22" ht="21" customHeight="1">
      <x:c r="A22" s="4"/>
      <x:c r="B22" s="4"/>
      <x:c r="C22" s="4"/>
      <x:c r="D22" s="4"/>
      <x:c r="E22" s="4"/>
      <x:c r="F22" s="322"/>
      <x:c r="G22" s="318"/>
      <x:c r="H22" s="323"/>
      <x:c r="I22" s="4"/>
      <x:c r="J22" s="4"/>
      <x:c r="K22" s="4"/>
      <x:c r="L22" s="4"/>
    </x:row>
    <x:row r="23" ht="21" customHeight="1">
      <x:c r="A23" s="4"/>
      <x:c r="B23" s="4"/>
      <x:c r="C23" s="4"/>
      <x:c r="D23" s="4"/>
      <x:c r="E23" s="4"/>
      <x:c r="F23" s="322"/>
      <x:c r="G23" s="318"/>
      <x:c r="H23" s="323"/>
      <x:c r="I23" s="4"/>
      <x:c r="J23" s="4"/>
      <x:c r="K23" s="4"/>
      <x:c r="L23" s="4"/>
    </x:row>
    <x:row r="24" ht="21" customHeight="1">
      <x:c r="A24" s="36" t="str">
        <x:v>INPUT CRITERIA</x:v>
      </x:c>
      <x:c r="B24" s="36"/>
      <x:c r="C24" s="36"/>
      <x:c r="D24" s="36"/>
      <x:c r="E24" s="4"/>
      <x:c r="F24" s="322"/>
      <x:c r="G24" s="318"/>
      <x:c r="H24" s="323"/>
      <x:c r="I24" s="4"/>
      <x:c r="J24" s="4"/>
      <x:c r="K24" s="4"/>
      <x:c r="L24" s="4"/>
    </x:row>
    <x:row r="25" ht="21" customHeight="1">
      <x:c r="A25" s="4"/>
      <x:c r="B25" s="4"/>
      <x:c r="C25" s="4"/>
      <x:c r="D25" s="4"/>
      <x:c r="E25" s="4"/>
      <x:c r="F25" s="324"/>
      <x:c r="G25" s="325"/>
      <x:c r="H25" s="326"/>
      <x:c r="I25" s="4"/>
      <x:c r="J25" s="4"/>
      <x:c r="K25" s="4"/>
      <x:c r="L25" s="4"/>
    </x:row>
    <x:row r="26" ht="21" customHeight="1">
      <x:c r="A26" s="342" t="str">
        <x:v>Region</x:v>
      </x:c>
      <x:c r="B26" s="208" t="str">
        <x:v>Amman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 ht="21" customHeight="1">
      <x:c r="A27" s="343" t="str">
        <x:v>Segment</x:v>
      </x:c>
      <x:c r="B27" s="209" t="str">
        <x:v>Corporate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 ht="21" customHeight="1">
      <x:c r="A28" s="343" t="str">
        <x:v>Account Status</x:v>
      </x:c>
      <x:c r="B28" s="209" t="str">
        <x:v>Active</x:v>
      </x:c>
      <x:c r="C28" s="4"/>
      <x:c r="D28" s="4"/>
      <x:c r="E28" s="4"/>
      <x:c r="F28" s="117" t="str">
        <x:v>MANAGEMENT QUESTION</x:v>
      </x:c>
      <x:c r="G28" s="118" t="str">
        <x:v>RESULT</x:v>
      </x:c>
      <x:c r="H28" s="119" t="str">
        <x:v>USE</x:v>
      </x:c>
      <x:c r="I28" s="4"/>
      <x:c r="J28" s="4"/>
      <x:c r="K28" s="4"/>
      <x:c r="L28" s="4"/>
    </x:row>
    <x:row r="29" ht="34" customHeight="1">
      <x:c r="A29" s="343" t="str">
        <x:v>Service</x:v>
      </x:c>
      <x:c r="B29" s="209" t="str">
        <x:v>Fiber</x:v>
      </x:c>
      <x:c r="C29" s="4"/>
      <x:c r="D29" s="4"/>
      <x:c r="E29" s="4"/>
      <x:c r="F29" s="139" t="str">
        <x:v>Total Monthly Fee for selected Region + Segment + Status</x:v>
      </x:c>
      <x:c r="G29" s="356"/>
      <x:c r="H29" s="141" t="str">
        <x:v>SUMIFS</x:v>
      </x:c>
      <x:c r="I29" s="4"/>
      <x:c r="J29" s="4"/>
      <x:c r="K29" s="4"/>
      <x:c r="L29" s="4"/>
    </x:row>
    <x:row r="30" ht="34" customHeight="1">
      <x:c r="A30" s="344" t="str">
        <x:v>Minimum Monthly Fee</x:v>
      </x:c>
      <x:c r="B30" s="354" t="n">
        <x:v>30</x:v>
      </x:c>
      <x:c r="C30" s="4"/>
      <x:c r="D30" s="4"/>
      <x:c r="E30" s="4"/>
      <x:c r="F30" s="142" t="str">
        <x:v>Count customers for selected Region + Segment + Status</x:v>
      </x:c>
      <x:c r="G30" s="357"/>
      <x:c r="H30" s="144" t="str">
        <x:v>COUNTIFS</x:v>
      </x:c>
      <x:c r="I30" s="4"/>
      <x:c r="J30" s="4"/>
      <x:c r="K30" s="4"/>
      <x:c r="L30" s="4"/>
    </x:row>
    <x:row r="31" ht="34" customHeight="1">
      <x:c r="A31" s="4"/>
      <x:c r="B31" s="4"/>
      <x:c r="C31" s="4"/>
      <x:c r="D31" s="4"/>
      <x:c r="E31" s="4"/>
      <x:c r="F31" s="142" t="str">
        <x:v>Average Monthly Fee for selected Region + Service</x:v>
      </x:c>
      <x:c r="G31" s="357"/>
      <x:c r="H31" s="144" t="str">
        <x:v>AVERAGEIFS</x:v>
      </x:c>
      <x:c r="I31" s="4"/>
      <x:c r="J31" s="4"/>
      <x:c r="K31" s="4"/>
      <x:c r="L31" s="4"/>
    </x:row>
    <x:row r="32" ht="34" customHeight="1">
      <x:c r="A32" s="4"/>
      <x:c r="B32" s="4"/>
      <x:c r="C32" s="4"/>
      <x:c r="D32" s="4"/>
      <x:c r="E32" s="4"/>
      <x:c r="F32" s="145" t="str">
        <x:v>Count Active customers with Monthly Fee &gt;= selected minimum</x:v>
      </x:c>
      <x:c r="G32" s="358"/>
      <x:c r="H32" s="147" t="str">
        <x:v>COUNTIFS</x:v>
      </x:c>
      <x:c r="I32" s="4"/>
      <x:c r="J32" s="4"/>
      <x:c r="K32" s="4"/>
      <x:c r="L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 ht="21" customHeight="1">
      <x:c r="A34" s="362" t="str">
        <x:v>FINAL REFLECTION  •  Which repeated step from Day 1 should Power Query automate tomorrow — and why?</x:v>
      </x:c>
      <x:c r="B34" s="362"/>
      <x:c r="C34" s="362"/>
      <x:c r="D34" s="362"/>
      <x:c r="E34" s="362"/>
      <x:c r="F34" s="362"/>
      <x:c r="G34" s="362"/>
      <x:c r="H34" s="362"/>
      <x:c r="I34" s="362"/>
      <x:c r="J34" s="362"/>
      <x:c r="K34" s="362"/>
      <x:c r="L34" s="362"/>
    </x:row>
    <x:row r="35" ht="21" customHeight="1">
      <x:c r="A35" s="362"/>
      <x:c r="B35" s="362"/>
      <x:c r="C35" s="362"/>
      <x:c r="D35" s="362"/>
      <x:c r="E35" s="362"/>
      <x:c r="F35" s="362"/>
      <x:c r="G35" s="362"/>
      <x:c r="H35" s="362"/>
      <x:c r="I35" s="362"/>
      <x:c r="J35" s="362"/>
      <x:c r="K35" s="362"/>
      <x:c r="L35" s="362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 ht="21" customHeight="1">
      <x:c r="A37" s="382" t="str"/>
      <x:c r="B37" s="383"/>
      <x:c r="C37" s="383"/>
      <x:c r="D37" s="383"/>
      <x:c r="E37" s="383"/>
      <x:c r="F37" s="383"/>
      <x:c r="G37" s="383"/>
      <x:c r="H37" s="383"/>
      <x:c r="I37" s="383"/>
      <x:c r="J37" s="383"/>
      <x:c r="K37" s="383"/>
      <x:c r="L37" s="384"/>
    </x:row>
    <x:row r="38" ht="21" customHeight="1">
      <x:c r="A38" s="385"/>
      <x:c r="B38" s="386"/>
      <x:c r="C38" s="386"/>
      <x:c r="D38" s="386"/>
      <x:c r="E38" s="386"/>
      <x:c r="F38" s="386"/>
      <x:c r="G38" s="386"/>
      <x:c r="H38" s="386"/>
      <x:c r="I38" s="386"/>
      <x:c r="J38" s="386"/>
      <x:c r="K38" s="386"/>
      <x:c r="L38" s="387"/>
    </x:row>
    <x:row r="39" ht="21" customHeight="1">
      <x:c r="A39" s="385"/>
      <x:c r="B39" s="386"/>
      <x:c r="C39" s="386"/>
      <x:c r="D39" s="386"/>
      <x:c r="E39" s="386"/>
      <x:c r="F39" s="386"/>
      <x:c r="G39" s="386"/>
      <x:c r="H39" s="386"/>
      <x:c r="I39" s="386"/>
      <x:c r="J39" s="386"/>
      <x:c r="K39" s="386"/>
      <x:c r="L39" s="387"/>
    </x:row>
    <x:row r="40" ht="21" customHeight="1">
      <x:c r="A40" s="388"/>
      <x:c r="B40" s="389"/>
      <x:c r="C40" s="389"/>
      <x:c r="D40" s="389"/>
      <x:c r="E40" s="389"/>
      <x:c r="F40" s="389"/>
      <x:c r="G40" s="389"/>
      <x:c r="H40" s="389"/>
      <x:c r="I40" s="389"/>
      <x:c r="J40" s="389"/>
      <x:c r="K40" s="389"/>
      <x:c r="L40" s="390"/>
    </x:row>
    <x:row r="41" ht="21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 ht="21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21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21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21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 ht="21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</x:sheetData>
  <x:mergeCells>
    <x:mergeCell ref="A1:L2"/>
    <x:mergeCell ref="A3:L3"/>
    <x:mergeCell ref="A5:L6"/>
    <x:mergeCell ref="A7:L8"/>
    <x:mergeCell ref="A10:D10"/>
    <x:mergeCell ref="F10:L10"/>
    <x:mergeCell ref="A24:D24"/>
    <x:mergeCell ref="A34:L35"/>
    <x:mergeCell ref="A37:L40"/>
  </x:mergeCells>
  <x:dataValidations count="4">
    <x:dataValidation type="list" sqref="B26">
      <x:formula1>"Amman,Zarqa,Irbid,Aqaba,Balqa"</x:formula1>
    </x:dataValidation>
    <x:dataValidation type="list" sqref="B27">
      <x:formula1>"Consumer,SME,Corporate"</x:formula1>
    </x:dataValidation>
    <x:dataValidation type="list" sqref="B28">
      <x:formula1>"Active,Suspended,Pending"</x:formula1>
    </x:dataValidation>
    <x:dataValidation type="list" sqref="B29">
      <x:formula1>"Fiber,Mobile,5G Home,Enterprise Data"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0" hidden="0" customWidth="1"/>
    <x:col min="3" max="3" width="52" hidden="0" customWidth="1"/>
    <x:col min="4" max="4" width="4" hidden="0" customWidth="1"/>
    <x:col min="5" max="5" width="4" hidden="0" customWidth="1"/>
    <x:col min="6" max="6" width="4" hidden="0" customWidth="1"/>
  </x:cols>
  <x:sheetData>
    <x:row r="1" ht="21" customHeight="1">
      <x:c r="A1" s="220" t="str">
        <x:v>ANSWER PATTERNS  •  TRAINER ONLY</x:v>
      </x:c>
      <x:c r="B1" s="220"/>
      <x:c r="C1" s="220"/>
      <x:c r="D1" s="220"/>
      <x:c r="E1" s="220"/>
      <x:c r="F1" s="220"/>
    </x:row>
    <x:row r="2" ht="21" customHeight="1">
      <x:c r="A2" s="220"/>
      <x:c r="B2" s="220"/>
      <x:c r="C2" s="220"/>
      <x:c r="D2" s="220"/>
      <x:c r="E2" s="220"/>
      <x:c r="F2" s="220"/>
    </x:row>
    <x:row r="3" ht="21" customHeight="1">
      <x:c r="A3" s="21" t="str">
        <x:v>اكشف الحل بعد المحاولة • الهدف فهم المنطق وليس حفظ Cell References</x:v>
      </x:c>
      <x:c r="B3" s="21"/>
      <x:c r="C3" s="21"/>
      <x:c r="D3" s="21"/>
      <x:c r="E3" s="21"/>
      <x:c r="F3" s="21"/>
    </x:row>
    <x:row r="4" ht="21" customHeight="1">
      <x:c r="A4" s="4"/>
      <x:c r="B4" s="4"/>
      <x:c r="C4" s="4"/>
      <x:c r="D4" s="4"/>
      <x:c r="E4" s="4"/>
      <x:c r="F4" s="4"/>
    </x:row>
    <x:row r="5" ht="21" customHeight="1">
      <x:c r="A5" s="305" t="str">
        <x:v>The formulas below show one valid pattern for the first learner row / console. Equivalent correct logic is acceptable.</x:v>
      </x:c>
      <x:c r="B5" s="305"/>
      <x:c r="C5" s="305"/>
      <x:c r="D5" s="4"/>
      <x:c r="E5" s="4"/>
      <x:c r="F5" s="4"/>
    </x:row>
    <x:row r="6" ht="21" customHeight="1">
      <x:c r="A6" s="305"/>
      <x:c r="B6" s="305"/>
      <x:c r="C6" s="305"/>
      <x:c r="D6" s="4"/>
      <x:c r="E6" s="4"/>
      <x:c r="F6" s="4"/>
    </x:row>
    <x:row r="7" ht="21" customHeight="1">
      <x:c r="A7" s="4"/>
      <x:c r="B7" s="4"/>
      <x:c r="C7" s="4"/>
      <x:c r="D7" s="4"/>
      <x:c r="E7" s="4"/>
      <x:c r="F7" s="4"/>
    </x:row>
    <x:row r="8" ht="38" customHeight="1">
      <x:c r="A8" s="117" t="str">
        <x:v>TASK</x:v>
      </x:c>
      <x:c r="B8" s="118" t="str">
        <x:v>FORMULA PATTERN</x:v>
      </x:c>
      <x:c r="C8" s="119" t="str">
        <x:v>TEACHING NOTE</x:v>
      </x:c>
      <x:c r="D8" s="4"/>
      <x:c r="E8" s="4"/>
      <x:c r="F8" s="4"/>
    </x:row>
    <x:row r="9" ht="48" customHeight="1">
      <x:c r="A9" s="139" t="str">
        <x:v>Region</x:v>
      </x:c>
      <x:c r="B9" s="424" t="str">
        <x:f>"=TEXTBEFORE(B11,""|"")"</x:f>
        <x:v>=TEXTBEFORE(B11,"|")</x:v>
      </x:c>
      <x:c r="C9" s="141" t="str">
        <x:v>First field before the delimiter.</x:v>
      </x:c>
      <x:c r="D9" s="4"/>
      <x:c r="E9" s="4"/>
      <x:c r="F9" s="4"/>
    </x:row>
    <x:row r="10" ht="48" customHeight="1">
      <x:c r="A10" s="142" t="str">
        <x:v>Service</x:v>
      </x:c>
      <x:c r="B10" s="425" t="str">
        <x:f>"=TEXTBEFORE(TEXTAFTER(B11,""|""),""|"")"</x:f>
        <x:v>=TEXTBEFORE(TEXTAFTER(B11,"|"),"|")</x:v>
      </x:c>
      <x:c r="C10" s="144" t="str">
        <x:v>Peel one layer, then take the next field.</x:v>
      </x:c>
      <x:c r="D10" s="4"/>
      <x:c r="E10" s="4"/>
      <x:c r="F10" s="4"/>
    </x:row>
    <x:row r="11" ht="48" customHeight="1">
      <x:c r="A11" s="142" t="str">
        <x:v>Customer ID</x:v>
      </x:c>
      <x:c r="B11" s="425" t="str">
        <x:f>"=TEXTBEFORE(TEXTAFTER(B11,""|"",2),""|"")"</x:f>
        <x:v>=TEXTBEFORE(TEXTAFTER(B11,"|",2),"|")</x:v>
      </x:c>
      <x:c r="C11" s="144" t="str">
        <x:v>Use the second delimiter occurrence.</x:v>
      </x:c>
      <x:c r="D11" s="4"/>
      <x:c r="E11" s="4"/>
      <x:c r="F11" s="4"/>
    </x:row>
    <x:row r="12" ht="48" customHeight="1">
      <x:c r="A12" s="142" t="str">
        <x:v>Order Type</x:v>
      </x:c>
      <x:c r="B12" s="425" t="str">
        <x:f>"=TEXTAFTER(B11,""|"",3)"</x:f>
        <x:v>=TEXTAFTER(B11,"|",3)</x:v>
      </x:c>
      <x:c r="C12" s="144" t="str">
        <x:v>Everything after the third delimiter.</x:v>
      </x:c>
      <x:c r="D12" s="4"/>
      <x:c r="E12" s="4"/>
      <x:c r="F12" s="4"/>
    </x:row>
    <x:row r="13" ht="48" customHeight="1">
      <x:c r="A13" s="142" t="str">
        <x:v>Type Flag</x:v>
      </x:c>
      <x:c r="B13" s="425" t="str">
        <x:f>"=IF(ISTEXT(C11),""Valid Text ID"",""Review Type"")"</x:f>
        <x:v>=IF(ISTEXT(C11),"Valid Text ID","Review Type")</x:v>
      </x:c>
      <x:c r="C13" s="144" t="str">
        <x:v>Translate a data-type test into a business flag.</x:v>
      </x:c>
      <x:c r="D13" s="4"/>
      <x:c r="E13" s="4"/>
      <x:c r="F13" s="4"/>
    </x:row>
    <x:row r="14" ht="58" customHeight="1">
      <x:c r="A14" s="142" t="str">
        <x:v>XLOOKUP • Plan</x:v>
      </x:c>
      <x:c r="B14" s="425" t="str">
        <x:f>"=XLOOKUP(K11,'02_CUSTOMER_MASTER'!$A$11:$A$50,'02_CUSTOMER_MASTER'!$F$11:$F$50,""Not Found"")"</x:f>
        <x:v>=XLOOKUP(K11,'02_CUSTOMER_MASTER'!$A$11:$A$50,'02_CUSTOMER_MASTER'!$F$11:$F$50,"Not Found")</x:v>
      </x:c>
      <x:c r="C14" s="144" t="str">
        <x:v>Exact ID lookup.</x:v>
      </x:c>
      <x:c r="D14" s="4"/>
      <x:c r="E14" s="4"/>
      <x:c r="F14" s="4"/>
    </x:row>
    <x:row r="15" ht="58" customHeight="1">
      <x:c r="A15" s="142" t="str">
        <x:v>XLOOKUP • 4 fields</x:v>
      </x:c>
      <x:c r="B15" s="425" t="str">
        <x:f>"=XLOOKUP(K11,'02_CUSTOMER_MASTER'!$A$11:$A$50,'02_CUSTOMER_MASTER'!$F$11:$I$50,""Not Found"")"</x:f>
        <x:v>=XLOOKUP(K11,'02_CUSTOMER_MASTER'!$A$11:$A$50,'02_CUSTOMER_MASTER'!$F$11:$I$50,"Not Found")</x:v>
      </x:c>
      <x:c r="C15" s="144" t="str">
        <x:v>One formula can return four adjacent fields.</x:v>
      </x:c>
      <x:c r="D15" s="4"/>
      <x:c r="E15" s="4"/>
      <x:c r="F15" s="4"/>
    </x:row>
    <x:row r="16" ht="48" customHeight="1">
      <x:c r="A16" s="142" t="str">
        <x:v>Achievement %</x:v>
      </x:c>
      <x:c r="B16" s="425" t="str">
        <x:f>"=D11/E11"</x:f>
        <x:v>=D11/E11</x:v>
      </x:c>
      <x:c r="C16" s="144" t="str">
        <x:v>Revenue ÷ Target.</x:v>
      </x:c>
      <x:c r="D16" s="4"/>
      <x:c r="E16" s="4"/>
      <x:c r="F16" s="4"/>
    </x:row>
    <x:row r="17" ht="48" customHeight="1">
      <x:c r="A17" s="142" t="str">
        <x:v>Performance Tier</x:v>
      </x:c>
      <x:c r="B17" s="425" t="str">
        <x:f>"=IFS(R11&gt;=110%,""Exceptional"",R11&gt;=100%,""Achieved"",R11&gt;=85%,""Watch"",TRUE,""Critical"")"</x:f>
        <x:v>=IFS(R11&gt;=110%,"Exceptional",R11&gt;=100%,"Achieved",R11&gt;=85%,"Watch",TRUE,"Critical")</x:v>
      </x:c>
      <x:c r="C17" s="144" t="str">
        <x:v>Order rules from highest threshold to catch-all.</x:v>
      </x:c>
      <x:c r="D17" s="4"/>
      <x:c r="E17" s="4"/>
      <x:c r="F17" s="4"/>
    </x:row>
    <x:row r="18" ht="48" customHeight="1">
      <x:c r="A18" s="142" t="str">
        <x:v>Escalate?</x:v>
      </x:c>
      <x:c r="B18" s="425" t="str">
        <x:f>"=IF(AND(B42=""Active"",OR(C42&gt;=8,E42&gt;D42)),""Escalate"",""Standard"")"</x:f>
        <x:v>=IF(AND(B42="Active",OR(C42&gt;=8,E42&gt;D42)),"Escalate","Standard")</x:v>
      </x:c>
      <x:c r="C18" s="144" t="str">
        <x:v>Business rule first: Active AND (Tickets high OR SLA breached).</x:v>
      </x:c>
      <x:c r="D18" s="4"/>
      <x:c r="E18" s="4"/>
      <x:c r="F18" s="4"/>
    </x:row>
    <x:row r="19" ht="48" customHeight="1">
      <x:c r="A19" s="142" t="str">
        <x:v>Safe Ratio</x:v>
      </x:c>
      <x:c r="B19" s="425" t="str">
        <x:f>"=IFERROR(H42/I42,0)"</x:f>
        <x:v>=IFERROR(H42/I42,0)</x:v>
      </x:c>
      <x:c r="C19" s="144" t="str">
        <x:v>Known divide-by-zero risk; do not hide unknown errors blindly.</x:v>
      </x:c>
      <x:c r="D19" s="4"/>
      <x:c r="E19" s="4"/>
      <x:c r="F19" s="4"/>
    </x:row>
    <x:row r="20" ht="48" customHeight="1">
      <x:c r="A20" s="142" t="str">
        <x:v>Year</x:v>
      </x:c>
      <x:c r="B20" s="425" t="str">
        <x:f>"=YEAR(B11)"</x:f>
        <x:v>=YEAR(B11)</x:v>
      </x:c>
      <x:c r="C20" s="144" t="str">
        <x:v>Reporting year.</x:v>
      </x:c>
      <x:c r="D20" s="4"/>
      <x:c r="E20" s="4"/>
      <x:c r="F20" s="4"/>
    </x:row>
    <x:row r="21" ht="48" customHeight="1">
      <x:c r="A21" s="142" t="str">
        <x:v>Month</x:v>
      </x:c>
      <x:c r="B21" s="425" t="str">
        <x:f>"=TEXT(B11,""mmm"")"</x:f>
        <x:v>=TEXT(B11,"mmm")</x:v>
      </x:c>
      <x:c r="C21" s="144" t="str">
        <x:v>Readable month label.</x:v>
      </x:c>
      <x:c r="D21" s="4"/>
      <x:c r="E21" s="4"/>
      <x:c r="F21" s="4"/>
    </x:row>
    <x:row r="22" ht="48" customHeight="1">
      <x:c r="A22" s="142" t="str">
        <x:v>Business Days</x:v>
      </x:c>
      <x:c r="B22" s="425" t="str">
        <x:f>"=NETWORKDAYS(B11,D11)"</x:f>
        <x:v>=NETWORKDAYS(B11,D11)</x:v>
      </x:c>
      <x:c r="C22" s="144" t="str">
        <x:v>Working-day duration.</x:v>
      </x:c>
      <x:c r="D22" s="4"/>
      <x:c r="E22" s="4"/>
      <x:c r="F22" s="4"/>
    </x:row>
    <x:row r="23" ht="48" customHeight="1">
      <x:c r="A23" s="142" t="str">
        <x:v>SLA Status</x:v>
      </x:c>
      <x:c r="B23" s="425" t="str">
        <x:f>"=IF(D11&lt;=C11,""On Time"",""Late"")"</x:f>
        <x:v>=IF(D11&lt;=C11,"On Time","Late")</x:v>
      </x:c>
      <x:c r="C23" s="144" t="str">
        <x:v>Compare actual close to due date.</x:v>
      </x:c>
      <x:c r="D23" s="4"/>
      <x:c r="E23" s="4"/>
      <x:c r="F23" s="4"/>
    </x:row>
    <x:row r="24" ht="48" customHeight="1">
      <x:c r="A24" s="142" t="str">
        <x:v>SORT + UNIQUE</x:v>
      </x:c>
      <x:c r="B24" s="425" t="str">
        <x:f>"=SORT(UNIQUE('04_WORKSPACE_A'!J11:J34))"</x:f>
        <x:v>=SORT(UNIQUE('04_WORKSPACE_A'!J11:J34))</x:v>
      </x:c>
      <x:c r="C24" s="144" t="str">
        <x:v>Dynamic list of parsed services.</x:v>
      </x:c>
      <x:c r="D24" s="4"/>
      <x:c r="E24" s="4"/>
      <x:c r="F24" s="4"/>
    </x:row>
    <x:row r="25" ht="64" customHeight="1">
      <x:c r="A25" s="142" t="str">
        <x:v>FILTER</x:v>
      </x:c>
      <x:c r="B25" s="425" t="str">
        <x:f>"=FILTER('02_CUSTOMER_MASTER'!A11:D50,('02_CUSTOMER_MASTER'!C11:C50=""Corporate"")*('02_CUSTOMER_MASTER'!H11:H50=""Active""),""No matches"")"</x:f>
        <x:v>=FILTER('02_CUSTOMER_MASTER'!A11:D50,('02_CUSTOMER_MASTER'!C11:C50="Corporate")*('02_CUSTOMER_MASTER'!H11:H50="Active"),"No matches")</x:v>
      </x:c>
      <x:c r="C25" s="144" t="str">
        <x:v>Multiple FILTER conditions multiply Boolean arrays.</x:v>
      </x:c>
      <x:c r="D25" s="4"/>
      <x:c r="E25" s="4"/>
      <x:c r="F25" s="4"/>
    </x:row>
    <x:row r="26" ht="64" customHeight="1">
      <x:c r="A26" s="142" t="str">
        <x:v>SUMIFS</x:v>
      </x:c>
      <x:c r="B26" s="425" t="str">
        <x:f>"=SUMIFS('02_CUSTOMER_MASTER'!I11:I50,'02_CUSTOMER_MASTER'!D11:D50,'06_MANAGEMENT_CONSOLE'!$B$26,'02_CUSTOMER_MASTER'!C11:C50,'06_MANAGEMENT_CONSOLE'!$B$27,'02_CUSTOMER_MASTER'!H11:H50,'06_MANAGEMENT_CONSOLE'!$B$28)"</x:f>
        <x:v>=SUMIFS('02_CUSTOMER_MASTER'!I11:I50,'02_CUSTOMER_MASTER'!D11:D50,'06_MANAGEMENT_CONSOLE'!$B$26,'02_CUSTOMER_MASTER'!C11:C50,'06_MANAGEMENT_CONSOLE'!$B$27,'02_CUSTOMER_MASTER'!H11:H50,'06_MANAGEMENT_CONSOLE'!$B$28)</x:v>
      </x:c>
      <x:c r="C26" s="144" t="str">
        <x:v>Same thinking pattern as Day 1 aggregation.</x:v>
      </x:c>
      <x:c r="D26" s="4"/>
      <x:c r="E26" s="4"/>
      <x:c r="F26" s="4"/>
    </x:row>
    <x:row r="27" ht="64" customHeight="1">
      <x:c r="A27" s="142" t="str">
        <x:v>COUNTIFS</x:v>
      </x:c>
      <x:c r="B27" s="425" t="str">
        <x:f>"=COUNTIFS('02_CUSTOMER_MASTER'!D11:D50,'06_MANAGEMENT_CONSOLE'!$B$26,'02_CUSTOMER_MASTER'!C11:C50,'06_MANAGEMENT_CONSOLE'!$B$27,'02_CUSTOMER_MASTER'!H11:H50,'06_MANAGEMENT_CONSOLE'!$B$28)"</x:f>
        <x:v>=COUNTIFS('02_CUSTOMER_MASTER'!D11:D50,'06_MANAGEMENT_CONSOLE'!$B$26,'02_CUSTOMER_MASTER'!C11:C50,'06_MANAGEMENT_CONSOLE'!$B$27,'02_CUSTOMER_MASTER'!H11:H50,'06_MANAGEMENT_CONSOLE'!$B$28)</x:v>
      </x:c>
      <x:c r="C27" s="144" t="str">
        <x:v>Count rows matching all selected conditions.</x:v>
      </x:c>
      <x:c r="D27" s="4"/>
      <x:c r="E27" s="4"/>
      <x:c r="F27" s="4"/>
    </x:row>
    <x:row r="28" ht="64" customHeight="1">
      <x:c r="A28" s="142" t="str">
        <x:v>AVERAGEIFS</x:v>
      </x:c>
      <x:c r="B28" s="425" t="str">
        <x:f>"=AVERAGEIFS('02_CUSTOMER_MASTER'!I11:I50,'02_CUSTOMER_MASTER'!D11:D50,'06_MANAGEMENT_CONSOLE'!$B$26,'02_CUSTOMER_MASTER'!E11:E50,'06_MANAGEMENT_CONSOLE'!$B$29)"</x:f>
        <x:v>=AVERAGEIFS('02_CUSTOMER_MASTER'!I11:I50,'02_CUSTOMER_MASTER'!D11:D50,'06_MANAGEMENT_CONSOLE'!$B$26,'02_CUSTOMER_MASTER'!E11:E50,'06_MANAGEMENT_CONSOLE'!$B$29)</x:v>
      </x:c>
      <x:c r="C28" s="144" t="str">
        <x:v>Average one measure under multiple criteria.</x:v>
      </x:c>
      <x:c r="D28" s="4"/>
      <x:c r="E28" s="4"/>
      <x:c r="F28" s="4"/>
    </x:row>
    <x:row r="29" ht="64" customHeight="1">
      <x:c r="A29" s="145" t="str">
        <x:v>COUNTIFS • threshold</x:v>
      </x:c>
      <x:c r="B29" s="426" t="str">
        <x:f>"=COUNTIFS('02_CUSTOMER_MASTER'!H11:H50,""Active"",'02_CUSTOMER_MASTER'!I11:I50,""&gt;=""&amp;'06_MANAGEMENT_CONSOLE'!$B$30)"</x:f>
        <x:v>=COUNTIFS('02_CUSTOMER_MASTER'!H11:H50,"Active",'02_CUSTOMER_MASTER'!I11:I50,"&gt;="&amp;'06_MANAGEMENT_CONSOLE'!$B$30)</x:v>
      </x:c>
      <x:c r="C29" s="147" t="str">
        <x:v>Comparison operator in quotes + &amp; cell reference.</x:v>
      </x:c>
      <x:c r="D29" s="4"/>
      <x:c r="E29" s="4"/>
      <x:c r="F29" s="4"/>
    </x:row>
    <x:row r="30" ht="21" customHeight="1">
      <x:c r="A30" s="4"/>
      <x:c r="B30" s="4"/>
      <x:c r="C30" s="4"/>
      <x:c r="D30" s="4"/>
      <x:c r="E30" s="4"/>
      <x:c r="F30" s="4"/>
    </x:row>
    <x:row r="31" ht="21" customHeight="1">
      <x:c r="A31" s="4"/>
      <x:c r="B31" s="4"/>
      <x:c r="C31" s="4"/>
      <x:c r="D31" s="4"/>
      <x:c r="E31" s="4"/>
      <x:c r="F31" s="4"/>
    </x:row>
    <x:row r="32" ht="21" customHeight="1">
      <x:c r="A32" s="4"/>
      <x:c r="B32" s="4"/>
      <x:c r="C32" s="4"/>
      <x:c r="D32" s="4"/>
      <x:c r="E32" s="4"/>
      <x:c r="F32" s="4"/>
    </x:row>
    <x:row r="33" ht="21" customHeight="1">
      <x:c r="A33" s="4"/>
      <x:c r="B33" s="4"/>
      <x:c r="C33" s="4"/>
      <x:c r="D33" s="4"/>
      <x:c r="E33" s="4"/>
      <x:c r="F33" s="4"/>
    </x:row>
    <x:row r="34" ht="21" customHeight="1">
      <x:c r="A34" s="4"/>
      <x:c r="B34" s="4"/>
      <x:c r="C34" s="4"/>
      <x:c r="D34" s="4"/>
      <x:c r="E34" s="4"/>
      <x:c r="F34" s="4"/>
    </x:row>
    <x:row r="35" ht="21" customHeight="1">
      <x:c r="A35" s="4"/>
      <x:c r="B35" s="4"/>
      <x:c r="C35" s="4"/>
      <x:c r="D35" s="4"/>
      <x:c r="E35" s="4"/>
      <x:c r="F35" s="4"/>
    </x:row>
    <x:row r="36" ht="21" customHeight="1">
      <x:c r="A36" s="4"/>
      <x:c r="B36" s="4"/>
      <x:c r="C36" s="4"/>
      <x:c r="D36" s="4"/>
      <x:c r="E36" s="4"/>
      <x:c r="F36" s="4"/>
    </x:row>
    <x:row r="37" ht="21" customHeight="1">
      <x:c r="A37" s="4"/>
      <x:c r="B37" s="4"/>
      <x:c r="C37" s="4"/>
      <x:c r="D37" s="4"/>
      <x:c r="E37" s="4"/>
      <x:c r="F37" s="4"/>
    </x:row>
    <x:row r="38" ht="21" customHeight="1">
      <x:c r="A38" s="4"/>
      <x:c r="B38" s="4"/>
      <x:c r="C38" s="4"/>
      <x:c r="D38" s="4"/>
      <x:c r="E38" s="4"/>
      <x:c r="F38" s="4"/>
    </x:row>
    <x:row r="39" ht="21" customHeight="1">
      <x:c r="A39" s="4"/>
      <x:c r="B39" s="4"/>
      <x:c r="C39" s="4"/>
      <x:c r="D39" s="4"/>
      <x:c r="E39" s="4"/>
      <x:c r="F39" s="4"/>
    </x:row>
    <x:row r="40" ht="21" customHeight="1">
      <x:c r="A40" s="4"/>
      <x:c r="B40" s="4"/>
      <x:c r="C40" s="4"/>
      <x:c r="D40" s="4"/>
      <x:c r="E40" s="4"/>
      <x:c r="F40" s="4"/>
    </x:row>
    <x:row r="41" ht="21" customHeight="1">
      <x:c r="A41" s="4"/>
      <x:c r="B41" s="4"/>
      <x:c r="C41" s="4"/>
      <x:c r="D41" s="4"/>
      <x:c r="E41" s="4"/>
      <x:c r="F41" s="4"/>
    </x:row>
    <x:row r="42" ht="21" customHeight="1">
      <x:c r="A42" s="4"/>
      <x:c r="B42" s="4"/>
      <x:c r="C42" s="4"/>
      <x:c r="D42" s="4"/>
      <x:c r="E42" s="4"/>
      <x:c r="F42" s="4"/>
    </x:row>
  </x:sheetData>
  <x:mergeCells>
    <x:mergeCell ref="A1:F2"/>
    <x:mergeCell ref="A3:F3"/>
    <x:mergeCell ref="A5:C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1" customHeight="1">
      <x:c r="A1" s="220" t="str">
        <x:v>DAY 1 ASSIGNMENT  •  TRAINER CHECK</x:v>
      </x:c>
      <x:c r="B1" s="220"/>
      <x:c r="C1" s="220"/>
      <x:c r="D1" s="220"/>
      <x:c r="E1" s="220"/>
      <x:c r="F1" s="220"/>
      <x:c r="G1" s="220"/>
      <x:c r="H1" s="220"/>
    </x:row>
    <x:row r="2" ht="21" customHeight="1">
      <x:c r="A2" s="220"/>
      <x:c r="B2" s="220"/>
      <x:c r="C2" s="220"/>
      <x:c r="D2" s="220"/>
      <x:c r="E2" s="220"/>
      <x:c r="F2" s="220"/>
      <x:c r="G2" s="220"/>
      <x:c r="H2" s="220"/>
    </x:row>
    <x:row r="3" ht="21" customHeight="1">
      <x:c r="A3" s="21" t="str">
        <x:v>تقييم سريع للتطبيق • ركّز على المنطق قبل الشكل</x:v>
      </x:c>
      <x:c r="B3" s="21"/>
      <x:c r="C3" s="21"/>
      <x:c r="D3" s="21"/>
      <x:c r="E3" s="21"/>
      <x:c r="F3" s="21"/>
      <x:c r="G3" s="21"/>
      <x:c r="H3" s="21"/>
    </x:row>
    <x:row r="4" ht="21" customHeight="1">
      <x:c r="A4" s="4"/>
      <x:c r="B4" s="4"/>
      <x:c r="C4" s="4"/>
      <x:c r="D4" s="4"/>
      <x:c r="E4" s="4"/>
      <x:c r="F4" s="4"/>
      <x:c r="G4" s="4"/>
      <x:c r="H4" s="4"/>
    </x:row>
    <x:row r="5" ht="21" customHeight="1">
      <x:c r="A5" s="4"/>
      <x:c r="B5" s="4"/>
      <x:c r="C5" s="4"/>
      <x:c r="D5" s="4"/>
      <x:c r="E5" s="4"/>
      <x:c r="F5" s="4"/>
      <x:c r="G5" s="4"/>
      <x:c r="H5" s="4"/>
    </x:row>
    <x:row r="6" ht="32" customHeight="1">
      <x:c r="A6" s="117" t="str">
        <x:v>#</x:v>
      </x:c>
      <x:c r="B6" s="118" t="str">
        <x:v>CHECKPOINT</x:v>
      </x:c>
      <x:c r="C6" s="118" t="str">
        <x:v>POINTS</x:v>
      </x:c>
      <x:c r="D6" s="119" t="str">
        <x:v>SCORE</x:v>
      </x:c>
      <x:c r="E6" s="4"/>
      <x:c r="F6" s="4"/>
      <x:c r="G6" s="4"/>
      <x:c r="H6" s="4"/>
    </x:row>
    <x:row r="7" ht="32" customHeight="1">
      <x:c r="A7" s="172" t="n">
        <x:v>1</x:v>
      </x:c>
      <x:c r="B7" s="140" t="str">
        <x:v>Text parsing is correct and reusable</x:v>
      </x:c>
      <x:c r="C7" s="441" t="n">
        <x:v>10</x:v>
      </x:c>
      <x:c r="D7" s="208"/>
      <x:c r="E7" s="4"/>
      <x:c r="F7" s="4"/>
      <x:c r="G7" s="4"/>
      <x:c r="H7" s="4"/>
    </x:row>
    <x:row r="8" ht="32" customHeight="1">
      <x:c r="A8" s="173" t="n">
        <x:v>2</x:v>
      </x:c>
      <x:c r="B8" s="143" t="str">
        <x:v>Data-type flag identifies numeric Account References</x:v>
      </x:c>
      <x:c r="C8" s="442" t="n">
        <x:v>10</x:v>
      </x:c>
      <x:c r="D8" s="209"/>
      <x:c r="E8" s="4"/>
      <x:c r="F8" s="4"/>
      <x:c r="G8" s="4"/>
      <x:c r="H8" s="4"/>
    </x:row>
    <x:row r="9" ht="32" customHeight="1">
      <x:c r="A9" s="173" t="n">
        <x:v>3</x:v>
      </x:c>
      <x:c r="B9" s="143" t="str">
        <x:v>XLOOKUP returns correct customer context</x:v>
      </x:c>
      <x:c r="C9" s="442" t="n">
        <x:v>15</x:v>
      </x:c>
      <x:c r="D9" s="209"/>
      <x:c r="E9" s="4"/>
      <x:c r="F9" s="4"/>
      <x:c r="G9" s="4"/>
      <x:c r="H9" s="4"/>
    </x:row>
    <x:row r="10" ht="32" customHeight="1">
      <x:c r="A10" s="173" t="n">
        <x:v>4</x:v>
      </x:c>
      <x:c r="B10" s="143" t="str">
        <x:v>IFS performance tiers follow the specified thresholds</x:v>
      </x:c>
      <x:c r="C10" s="442" t="n">
        <x:v>10</x:v>
      </x:c>
      <x:c r="D10" s="209"/>
      <x:c r="E10" s="4"/>
      <x:c r="F10" s="4"/>
      <x:c r="G10" s="4"/>
      <x:c r="H10" s="4"/>
    </x:row>
    <x:row r="11" ht="32" customHeight="1">
      <x:c r="A11" s="173" t="n">
        <x:v>5</x:v>
      </x:c>
      <x:c r="B11" s="143" t="str">
        <x:v>AND/OR escalation logic matches the business rule</x:v>
      </x:c>
      <x:c r="C11" s="442" t="n">
        <x:v>10</x:v>
      </x:c>
      <x:c r="D11" s="209"/>
      <x:c r="E11" s="4"/>
      <x:c r="F11" s="4"/>
      <x:c r="G11" s="4"/>
      <x:c r="H11" s="4"/>
    </x:row>
    <x:row r="12" ht="32" customHeight="1">
      <x:c r="A12" s="173" t="n">
        <x:v>6</x:v>
      </x:c>
      <x:c r="B12" s="143" t="str">
        <x:v>IFERROR is used only for the known ratio risk</x:v>
      </x:c>
      <x:c r="C12" s="442" t="n">
        <x:v>5</x:v>
      </x:c>
      <x:c r="D12" s="209"/>
      <x:c r="E12" s="4"/>
      <x:c r="F12" s="4"/>
      <x:c r="G12" s="4"/>
      <x:c r="H12" s="4"/>
    </x:row>
    <x:row r="13" ht="32" customHeight="1">
      <x:c r="A13" s="173" t="n">
        <x:v>7</x:v>
      </x:c>
      <x:c r="B13" s="143" t="str">
        <x:v>NETWORKDAYS and SLA status are correct</x:v>
      </x:c>
      <x:c r="C13" s="442" t="n">
        <x:v>15</x:v>
      </x:c>
      <x:c r="D13" s="209"/>
      <x:c r="E13" s="4"/>
      <x:c r="F13" s="4"/>
      <x:c r="G13" s="4"/>
      <x:c r="H13" s="4"/>
    </x:row>
    <x:row r="14" ht="32" customHeight="1">
      <x:c r="A14" s="173" t="n">
        <x:v>8</x:v>
      </x:c>
      <x:c r="B14" s="143" t="str">
        <x:v>Dynamic arrays spill correctly and adapt to data</x:v>
      </x:c>
      <x:c r="C14" s="442" t="n">
        <x:v>10</x:v>
      </x:c>
      <x:c r="D14" s="209"/>
      <x:c r="E14" s="4"/>
      <x:c r="F14" s="4"/>
      <x:c r="G14" s="4"/>
      <x:c r="H14" s="4"/>
    </x:row>
    <x:row r="15" ht="32" customHeight="1">
      <x:c r="A15" s="173" t="n">
        <x:v>9</x:v>
      </x:c>
      <x:c r="B15" s="143" t="str">
        <x:v>Management criteria formulas respond to input changes</x:v>
      </x:c>
      <x:c r="C15" s="442" t="n">
        <x:v>10</x:v>
      </x:c>
      <x:c r="D15" s="209"/>
      <x:c r="E15" s="4"/>
      <x:c r="F15" s="4"/>
      <x:c r="G15" s="4"/>
      <x:c r="H15" s="4"/>
    </x:row>
    <x:row r="16" ht="32" customHeight="1">
      <x:c r="A16" s="174" t="n">
        <x:v>10</x:v>
      </x:c>
      <x:c r="B16" s="146" t="str">
        <x:v>Learner can explain one formula in business language</x:v>
      </x:c>
      <x:c r="C16" s="443" t="n">
        <x:v>5</x:v>
      </x:c>
      <x:c r="D16" s="210"/>
      <x:c r="E16" s="4"/>
      <x:c r="F16" s="4"/>
      <x:c r="G16" s="4"/>
      <x:c r="H16" s="4"/>
    </x:row>
    <x:row r="17" ht="21" customHeight="1">
      <x:c r="A17" s="4"/>
      <x:c r="B17" s="4"/>
      <x:c r="C17" s="4"/>
      <x:c r="D17" s="4"/>
      <x:c r="E17" s="4"/>
      <x:c r="F17" s="4"/>
      <x:c r="G17" s="4"/>
      <x:c r="H17" s="4"/>
    </x:row>
    <x:row r="18" ht="21" customHeight="1">
      <x:c r="A18" s="4"/>
      <x:c r="B18" s="117" t="str">
        <x:v>TOTAL</x:v>
      </x:c>
      <x:c r="C18" s="119" t="n">
        <x:v>100</x:v>
      </x:c>
      <x:c r="D18" s="453" t="n">
        <x:f>SUM(D7:D16)</x:f>
        <x:v>0</x:v>
      </x:c>
      <x:c r="E18" s="4"/>
      <x:c r="F18" s="4"/>
      <x:c r="G18" s="4"/>
      <x:c r="H18" s="4"/>
    </x:row>
    <x:row r="19" ht="21" customHeight="1">
      <x:c r="A19" s="4"/>
      <x:c r="B19" s="4"/>
      <x:c r="C19" s="4"/>
      <x:c r="D19" s="4"/>
      <x:c r="E19" s="4"/>
      <x:c r="F19" s="4"/>
      <x:c r="G19" s="4"/>
      <x:c r="H19" s="4"/>
    </x:row>
    <x:row r="20" ht="21" customHeight="1">
      <x:c r="A20" s="4"/>
      <x:c r="B20" s="4"/>
      <x:c r="C20" s="4"/>
      <x:c r="D20" s="4"/>
      <x:c r="E20" s="4"/>
      <x:c r="F20" s="4"/>
      <x:c r="G20" s="4"/>
      <x:c r="H20" s="4"/>
    </x:row>
    <x:row r="21" ht="21" customHeight="1">
      <x:c r="A21" s="4"/>
      <x:c r="B21" s="4"/>
      <x:c r="C21" s="4"/>
      <x:c r="D21" s="4"/>
      <x:c r="E21" s="4"/>
      <x:c r="F21" s="4"/>
      <x:c r="G21" s="4"/>
      <x:c r="H21" s="4"/>
    </x:row>
    <x:row r="22" ht="21" customHeight="1">
      <x:c r="A22" s="305" t="str">
        <x:v>TRAINER NOTE  •  If a learner gets the right result with a different valid formula, ask them to explain the logic before scoring it as incorrect.</x:v>
      </x:c>
      <x:c r="B22" s="305"/>
      <x:c r="C22" s="305"/>
      <x:c r="D22" s="305"/>
      <x:c r="E22" s="4"/>
      <x:c r="F22" s="4"/>
      <x:c r="G22" s="4"/>
      <x:c r="H22" s="4"/>
    </x:row>
    <x:row r="23" ht="21" customHeight="1">
      <x:c r="A23" s="305"/>
      <x:c r="B23" s="305"/>
      <x:c r="C23" s="305"/>
      <x:c r="D23" s="305"/>
      <x:c r="E23" s="4"/>
      <x:c r="F23" s="4"/>
      <x:c r="G23" s="4"/>
      <x:c r="H23" s="4"/>
    </x:row>
    <x:row r="24" ht="21" customHeight="1">
      <x:c r="A24" s="305"/>
      <x:c r="B24" s="305"/>
      <x:c r="C24" s="305"/>
      <x:c r="D24" s="305"/>
      <x:c r="E24" s="4"/>
      <x:c r="F24" s="4"/>
      <x:c r="G24" s="4"/>
      <x:c r="H24" s="4"/>
    </x:row>
    <x:row r="25" ht="21" customHeight="1">
      <x:c r="A25" s="4"/>
      <x:c r="B25" s="4"/>
      <x:c r="C25" s="4"/>
      <x:c r="D25" s="4"/>
      <x:c r="E25" s="4"/>
      <x:c r="F25" s="4"/>
      <x:c r="G25" s="4"/>
      <x:c r="H25" s="4"/>
    </x:row>
    <x:row r="26" ht="21" customHeight="1">
      <x:c r="A26" s="4"/>
      <x:c r="B26" s="4"/>
      <x:c r="C26" s="4"/>
      <x:c r="D26" s="4"/>
      <x:c r="E26" s="4"/>
      <x:c r="F26" s="4"/>
      <x:c r="G26" s="4"/>
      <x:c r="H26" s="4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</x:row>
    <x:row r="28" ht="21" customHeight="1">
      <x:c r="A28" s="4"/>
      <x:c r="B28" s="4"/>
      <x:c r="C28" s="4"/>
      <x:c r="D28" s="4"/>
      <x:c r="E28" s="4"/>
      <x:c r="F28" s="4"/>
      <x:c r="G28" s="4"/>
      <x:c r="H28" s="4"/>
    </x:row>
    <x:row r="29" ht="21" customHeight="1">
      <x:c r="A29" s="4"/>
      <x:c r="B29" s="4"/>
      <x:c r="C29" s="4"/>
      <x:c r="D29" s="4"/>
      <x:c r="E29" s="4"/>
      <x:c r="F29" s="4"/>
      <x:c r="G29" s="4"/>
      <x:c r="H29" s="4"/>
    </x:row>
    <x:row r="30" ht="21" customHeight="1">
      <x:c r="A30" s="4"/>
      <x:c r="B30" s="4"/>
      <x:c r="C30" s="4"/>
      <x:c r="D30" s="4"/>
      <x:c r="E30" s="4"/>
      <x:c r="F30" s="4"/>
      <x:c r="G30" s="4"/>
      <x:c r="H30" s="4"/>
    </x:row>
    <x:row r="31" ht="21" customHeight="1">
      <x:c r="A31" s="4"/>
      <x:c r="B31" s="4"/>
      <x:c r="C31" s="4"/>
      <x:c r="D31" s="4"/>
      <x:c r="E31" s="4"/>
      <x:c r="F31" s="4"/>
      <x:c r="G31" s="4"/>
      <x:c r="H31" s="4"/>
    </x:row>
    <x:row r="32" ht="21" customHeight="1">
      <x:c r="A32" s="4"/>
      <x:c r="B32" s="4"/>
      <x:c r="C32" s="4"/>
      <x:c r="D32" s="4"/>
      <x:c r="E32" s="4"/>
      <x:c r="F32" s="4"/>
      <x:c r="G32" s="4"/>
      <x:c r="H32" s="4"/>
    </x:row>
    <x:row r="33" ht="21" customHeight="1">
      <x:c r="A33" s="4"/>
      <x:c r="B33" s="4"/>
      <x:c r="C33" s="4"/>
      <x:c r="D33" s="4"/>
      <x:c r="E33" s="4"/>
      <x:c r="F33" s="4"/>
      <x:c r="G33" s="4"/>
      <x:c r="H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</x:row>
  </x:sheetData>
  <x:mergeCells>
    <x:mergeCell ref="A1:H2"/>
    <x:mergeCell ref="A3:H3"/>
    <x:mergeCell ref="A22:D24"/>
  </x:mergeCells>
  <x:dataValidations count="1">
    <x:dataValidation operator="between" sqref="D7:D16">
      <x:formula1>0</x:formula1>
      <x:formula2>15</x:formula2>
    </x:dataValidation>
  </x:dataValidations>
  <x:pageMargins left="0.7" right="0.7" top="0.75" bottom="0.75" header="0.3" footer="0.3"/>
</x:worksheet>
</file>