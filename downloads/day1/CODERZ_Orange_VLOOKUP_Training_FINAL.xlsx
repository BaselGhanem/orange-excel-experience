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\Downloads\"/>
    </mc:Choice>
  </mc:AlternateContent>
  <xr:revisionPtr revIDLastSave="0" documentId="13_ncr:1_{CAE51103-06DD-4C6A-90F1-1C82C29F94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0_COVER" sheetId="1" r:id="rId1"/>
    <sheet name="01_LOOKUP_STORY" sheetId="2" r:id="rId2"/>
    <sheet name="02_VLOOKUP_ANATOMY" sheetId="3" r:id="rId3"/>
    <sheet name="03_VLOOKUP_LAB" sheetId="4" r:id="rId4"/>
    <sheet name="04_COMMON_MISTAKES" sheetId="5" r:id="rId5"/>
    <sheet name="05_FINAL_CHALLENGE" sheetId="6" r:id="rId6"/>
    <sheet name="06_SERVICE_MAST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F20" i="5"/>
  <c r="I26" i="3"/>
</calcChain>
</file>

<file path=xl/sharedStrings.xml><?xml version="1.0" encoding="utf-8"?>
<sst xmlns="http://schemas.openxmlformats.org/spreadsheetml/2006/main" count="335" uniqueCount="159">
  <si>
    <t>VLOOKUP • FIND THE RIGHT ANSWER FAST</t>
  </si>
  <si>
    <t>بدل Ctrl+F كل مرة... خلي الكود يجيب المعلومة لحاله</t>
  </si>
  <si>
    <t>ADVANCED EXCEL • CODERZ × ORANGE JORDAN</t>
  </si>
  <si>
    <t>1
SEARCH
What do I know?</t>
  </si>
  <si>
    <t>2
RETURN
What do I need?</t>
  </si>
  <si>
    <t>3
HANDLE MISSING
Keep it clean</t>
  </si>
  <si>
    <t>Manual Search → VLOOKUP → Practice → Fix Mistakes → Final Challenge</t>
  </si>
  <si>
    <t>≈ 50–60 MIN • Synthetic Training Data</t>
  </si>
  <si>
    <t>BUSINESS CASE • YOU HAVE A SERVICE CODE — NOW WHAT?</t>
  </si>
  <si>
    <t>عندك Service Code... وباقي المعلومات مدفونة بجدول طويل</t>
  </si>
  <si>
    <t>YOUR MISSION • In 8 seconds, find Service Name, Monthly Fee and Owner Team for SV-108 — manually.</t>
  </si>
  <si>
    <t>Service Code</t>
  </si>
  <si>
    <t>Service Name</t>
  </si>
  <si>
    <t>Category</t>
  </si>
  <si>
    <t>Segment</t>
  </si>
  <si>
    <t>Monthly Fee</t>
  </si>
  <si>
    <t>Owner Team</t>
  </si>
  <si>
    <t>8-SECOND TEST
Find SV-108
Service Name?
Monthly Fee?
Owner Team?</t>
  </si>
  <si>
    <t>SV-101</t>
  </si>
  <si>
    <t>Fiber Business 300</t>
  </si>
  <si>
    <t>Fiber</t>
  </si>
  <si>
    <t>Corporate</t>
  </si>
  <si>
    <t>Fixed Broadband</t>
  </si>
  <si>
    <t>SV-102</t>
  </si>
  <si>
    <t>Fiber Business 600</t>
  </si>
  <si>
    <t>SME</t>
  </si>
  <si>
    <t>SV-103</t>
  </si>
  <si>
    <t>5G Office Start</t>
  </si>
  <si>
    <t>5G</t>
  </si>
  <si>
    <t>Wireless Access</t>
  </si>
  <si>
    <t>SV-104</t>
  </si>
  <si>
    <t>5G Office Pro</t>
  </si>
  <si>
    <t>SV-105</t>
  </si>
  <si>
    <t>Mobile Team 10</t>
  </si>
  <si>
    <t>Mobile</t>
  </si>
  <si>
    <t>Mobile Services</t>
  </si>
  <si>
    <t>SV-106</t>
  </si>
  <si>
    <t>Mobile Team 25</t>
  </si>
  <si>
    <t>SV-107</t>
  </si>
  <si>
    <t>Secure Connect</t>
  </si>
  <si>
    <t>Enterprise Data</t>
  </si>
  <si>
    <t>Enterprise Solutions</t>
  </si>
  <si>
    <t>NOW IMAGINE:
50 service codes
4 fields each
Every morning</t>
  </si>
  <si>
    <t>SV-108</t>
  </si>
  <si>
    <t>Cloud Link</t>
  </si>
  <si>
    <t>SV-109</t>
  </si>
  <si>
    <t>Branch Backup</t>
  </si>
  <si>
    <t>Business Continuity</t>
  </si>
  <si>
    <t>SV-110</t>
  </si>
  <si>
    <t>Smart Office Basic</t>
  </si>
  <si>
    <t>IoT</t>
  </si>
  <si>
    <t>Digital Solutions</t>
  </si>
  <si>
    <t>SV-111</t>
  </si>
  <si>
    <t>Smart Office Plus</t>
  </si>
  <si>
    <t>SV-112</t>
  </si>
  <si>
    <t>Contact Center Lite</t>
  </si>
  <si>
    <t>Cloud</t>
  </si>
  <si>
    <t>THE PAIN • Ctrl+F works once. Repeating the same search again and again is the real problem.</t>
  </si>
  <si>
    <t>VLOOKUP • FORMULA ANATOMY</t>
  </si>
  <si>
    <t>YOUR MISSION • Understand the four arguments, then use one exact-match VLOOKUP.</t>
  </si>
  <si>
    <t>=VLOOKUP( lookup_value , table_array , col_index_num , FALSE )</t>
  </si>
  <si>
    <t>1 • lookup_value
What do I know?
Service Code
شو القيمة اللي بعرفها؟</t>
  </si>
  <si>
    <t>2 • table_array
Where do I search?
Service Master
وين جدول البحث؟</t>
  </si>
  <si>
    <t>DEMO CODE</t>
  </si>
  <si>
    <t>Status</t>
  </si>
  <si>
    <t>Active</t>
  </si>
  <si>
    <t>SV-114</t>
  </si>
  <si>
    <t>Cyber Protect</t>
  </si>
  <si>
    <t>Security</t>
  </si>
  <si>
    <t>Cybersecurity</t>
  </si>
  <si>
    <t>SV-119</t>
  </si>
  <si>
    <t>Wi-Fi Office</t>
  </si>
  <si>
    <t>Connectivity</t>
  </si>
  <si>
    <t>Pilot</t>
  </si>
  <si>
    <t>RESULT</t>
  </si>
  <si>
    <t>KEY RULE • The lookup column must be the FIRST column in the table_array. VLOOKUP returns values to the RIGHT.</t>
  </si>
  <si>
    <t>VLOOKUP LAB • BUILD A ONE-CODE LOOKUP CONSOLE</t>
  </si>
  <si>
    <t>YOUR MISSION • Use one Service Code to return five fields. The first formula is done — you build the rest.</t>
  </si>
  <si>
    <t>INPUT SERVICE CODE</t>
  </si>
  <si>
    <t>BUILD IT
1. Keep lookup_value fixed
2. Keep table_array fixed
3. Change only col_index_num
4. Always use FALSE</t>
  </si>
  <si>
    <t>RETURN FIELD</t>
  </si>
  <si>
    <t>YOUR FORMULA / RESULT</t>
  </si>
  <si>
    <t>COLUMN #</t>
  </si>
  <si>
    <t>STATUS</t>
  </si>
  <si>
    <t>DEMO</t>
  </si>
  <si>
    <t>Build</t>
  </si>
  <si>
    <t>QUICK TEST
Change SV-104 → SV-115
Did every answer update?</t>
  </si>
  <si>
    <t>Service Status</t>
  </si>
  <si>
    <t>MEMORY LINE • What I know → Where I search → Which column I want → FALSE</t>
  </si>
  <si>
    <t>NEXT • We will break VLOOKUP on purpose, then fix the common mistakes.</t>
  </si>
  <si>
    <t>VLOOKUP • FOUR MISTAKES THAT WASTE TIME</t>
  </si>
  <si>
    <t>YOUR MISSION • Recognize the mistake before rewriting the whole formula.</t>
  </si>
  <si>
    <t>#</t>
  </si>
  <si>
    <t>MISTAKE</t>
  </si>
  <si>
    <t>WHAT HAPPENS</t>
  </si>
  <si>
    <t>FAST FIX</t>
  </si>
  <si>
    <t>OOPS TEST • Missing Code</t>
  </si>
  <si>
    <t>No FALSE / exact-match control</t>
  </si>
  <si>
    <t>Unexpected or unreliable result</t>
  </si>
  <si>
    <t>Use FALSE in this lesson</t>
  </si>
  <si>
    <t>Wrong col_index_num</t>
  </si>
  <si>
    <t>Returns the wrong field</t>
  </si>
  <si>
    <t>Count from first table column</t>
  </si>
  <si>
    <t>Table range not locked</t>
  </si>
  <si>
    <t>Copying shifts the lookup table</t>
  </si>
  <si>
    <t>Use $A$11:$G$30</t>
  </si>
  <si>
    <t>Lookup field not first</t>
  </si>
  <si>
    <t>VLOOKUP cannot search left</t>
  </si>
  <si>
    <t>Put lookup column first / use another lookup tool</t>
  </si>
  <si>
    <t>SV-999</t>
  </si>
  <si>
    <t>WITHOUT IFERROR</t>
  </si>
  <si>
    <t>CLEAN VERSION</t>
  </si>
  <si>
    <t>=IFERROR(VLOOKUP(code,table,column,FALSE),"Not Found")</t>
  </si>
  <si>
    <t>KEY IDEA • Fix the cause first. Use IFERROR only when a missing code is a known business possibility.</t>
  </si>
  <si>
    <t>FINAL CHALLENGE • THE 11:57 AM SERVICE REQUEST</t>
  </si>
  <si>
    <t>YOUR MISSION • Write the formulas in the first row, fill down, and keep the missing code clean.</t>
  </si>
  <si>
    <t>SUCCESS CHECK
• One formula per output column
• Fill down
• Use FALSE
• Lock the table
• SV-999 → Not Found</t>
  </si>
  <si>
    <t>FORMULA STARTER • '=IFERROR(VLOOKUP($A11,'06_SERVICE_MASTER'!$A$11:$G$30,2,FALSE),"Not Found")</t>
  </si>
  <si>
    <t>FINAL ASK • Which part of VLOOKUP changes when you want a different field? → col_index_num</t>
  </si>
  <si>
    <t>المكسب الحقيقي • Code واحد معروف، ومعلومة صحيحة ترجع بدون Ctrl+F وبدون بحث يدوي.</t>
  </si>
  <si>
    <t>DATA HUB • SERVICE MASTER • SYNTHETIC TRAINING DATA</t>
  </si>
  <si>
    <t>YOUR MISSION • Use this table as the VLOOKUP reference. Service Code is intentionally the first column.</t>
  </si>
  <si>
    <t>SV-113</t>
  </si>
  <si>
    <t>Contact Center Pro</t>
  </si>
  <si>
    <t>SV-115</t>
  </si>
  <si>
    <t>SD-WAN Core</t>
  </si>
  <si>
    <t>SV-116</t>
  </si>
  <si>
    <t>Device Care</t>
  </si>
  <si>
    <t>Support</t>
  </si>
  <si>
    <t>Consumer</t>
  </si>
  <si>
    <t>Customer Operations</t>
  </si>
  <si>
    <t>SV-117</t>
  </si>
  <si>
    <t>Priority Support</t>
  </si>
  <si>
    <t>SV-118</t>
  </si>
  <si>
    <t>Data SIM 50</t>
  </si>
  <si>
    <t>SV-120</t>
  </si>
  <si>
    <t>Legacy Voice</t>
  </si>
  <si>
    <t>Voice</t>
  </si>
  <si>
    <t>Fixed Voice</t>
  </si>
  <si>
    <t>Retiring</t>
  </si>
  <si>
    <t>REFERENCE TIP • Column numbers above the headers are there to make col_index_num visible while you learn.</t>
  </si>
  <si>
    <t>هسا فقط نفك المعادلة بعد ما حسينا بمشكلة البحث اليدوي</t>
  </si>
  <si>
    <t>Code واحد يدخل... وكل المعلومات تتغير معه</t>
  </si>
  <si>
    <t>مرجع التدريب • استخدمه للبحث فقط ولا تعدل البيانات</t>
  </si>
  <si>
    <t>المطلوب منك • عندك 8 ثواني فقط: طلع اسم الخدمة والسعر الشهري والفريق المسؤول عن SV-108 يدويا.</t>
  </si>
  <si>
    <t>4 • FALSE
Exact match only
بدي تطابق مطابق تماما</t>
  </si>
  <si>
    <t>الفكرة • اذا كان عندي Code معروف، Excel لازم يرجع المعلومة المطلوبة تلقائيا.</t>
  </si>
  <si>
    <t>المطلوب منك • افهم الاربع Arguments، وبعدها استخدم VLOOKUP واحدة بـExact Match.</t>
  </si>
  <si>
    <t>3 • col_index_num
Which column do I return?
2, 3, 5, 6...
اي عمود بدي ارجع؟</t>
  </si>
  <si>
    <t>قاعدة سريعة • ثبت جدول البحث بـ$، واستخدم FALSE في هذا الدرس لاننا نريد Exact Match.</t>
  </si>
  <si>
    <t>المطلوب منك • استخدم Service Code واحد لترجع خمس معلومات. اول Formula جاهزة، والباقي عليك.</t>
  </si>
  <si>
    <t>لا تحفظ ارقام الاعمدة عشوائيا • عدها من اول عمود داخل table_array.</t>
  </si>
  <si>
    <t>خلينا نخربها بايدنا... عشان تعرف تصلحها بسرعة</t>
  </si>
  <si>
    <t>المطلوب منك • شخص الخطا اولا قبل ما تعيد كتابة المعادلة من الصفر.</t>
  </si>
  <si>
    <t>الفكرة • مش كل Error نخفيه. اذا الـCode ممكن يكون غير موجود فعلا، وقتها Not Found جواب منطقي.</t>
  </si>
  <si>
    <t>خمسة اكواد وصلوا قبل الاجتماع بثلاث دقائق</t>
  </si>
  <si>
    <t>المطلوب منك • اكتب المعادلات باول صف، اسحبها لتحت، وخلي الـCode غير الموجود يطلع بشكل نظيف.</t>
  </si>
  <si>
    <t>المطلوب منك • استخدم هذا الجدول كمرجع للـVLOOKUP. Service Code موجود عمدا في اول عمود.</t>
  </si>
  <si>
    <t>FORMULA PATTERN • =VLOOKUP(I22,$A$22:$G$24,2,FALSE)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</si>
</sst>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name val="Carlito"/>
    </font>
    <font>
      <sz val="10"/>
      <color rgb="FF25313B"/>
      <name val="Aptos"/>
    </font>
    <font>
      <b/>
      <sz val="21"/>
      <color rgb="FFFFFFFF"/>
      <name val="Aptos"/>
    </font>
    <font>
      <b/>
      <sz val="11"/>
      <color rgb="FFFF7900"/>
      <name val="Dubai"/>
    </font>
    <font>
      <b/>
      <sz val="11"/>
      <color rgb="FF147EEA"/>
      <name val="Aptos"/>
    </font>
    <font>
      <b/>
      <sz val="11"/>
      <color rgb="FFFF7900"/>
      <name val="Aptos"/>
    </font>
    <font>
      <b/>
      <sz val="11"/>
      <color rgb="FF50BE87"/>
      <name val="Aptos"/>
    </font>
    <font>
      <b/>
      <sz val="11"/>
      <color rgb="FFFFFFFF"/>
      <name val="Aptos"/>
    </font>
    <font>
      <sz val="9"/>
      <color rgb="FF6B7782"/>
      <name val="Aptos"/>
    </font>
    <font>
      <b/>
      <sz val="17"/>
      <color rgb="FFFFFFFF"/>
      <name val="Aptos"/>
    </font>
    <font>
      <b/>
      <sz val="10"/>
      <color rgb="FFFF7900"/>
      <name val="Dubai"/>
    </font>
    <font>
      <b/>
      <sz val="10"/>
      <color rgb="FF147EEA"/>
      <name val="Aptos"/>
    </font>
    <font>
      <b/>
      <sz val="9"/>
      <color rgb="FFFFFFFF"/>
      <name val="Aptos"/>
    </font>
    <font>
      <sz val="9"/>
      <color rgb="FF25313B"/>
      <name val="Aptos"/>
    </font>
    <font>
      <b/>
      <sz val="13"/>
      <color rgb="FFFF7900"/>
      <name val="Aptos"/>
    </font>
    <font>
      <b/>
      <sz val="12"/>
      <color rgb="FFD94C4C"/>
      <name val="Aptos"/>
    </font>
    <font>
      <b/>
      <sz val="10"/>
      <color rgb="FF50BE87"/>
      <name val="Dubai"/>
    </font>
    <font>
      <b/>
      <sz val="15"/>
      <color rgb="FFFFFFFF"/>
      <name val="Aptos"/>
    </font>
    <font>
      <b/>
      <sz val="10"/>
      <color rgb="FF147EEA"/>
      <name val="Dubai"/>
    </font>
    <font>
      <b/>
      <sz val="10"/>
      <color rgb="FFA885D8"/>
      <name val="Dubai"/>
    </font>
    <font>
      <b/>
      <sz val="9"/>
      <color rgb="FF147EEA"/>
      <name val="Aptos"/>
    </font>
    <font>
      <b/>
      <sz val="10"/>
      <color rgb="FFFF7900"/>
      <name val="Aptos"/>
    </font>
    <font>
      <b/>
      <sz val="11"/>
      <color rgb="FF25313B"/>
      <name val="Aptos"/>
    </font>
    <font>
      <b/>
      <sz val="10"/>
      <color rgb="FF50BE87"/>
      <name val="Aptos"/>
    </font>
    <font>
      <b/>
      <sz val="10"/>
      <color rgb="FFD94C4C"/>
      <name val="Aptos"/>
    </font>
    <font>
      <b/>
      <sz val="10"/>
      <color rgb="FFFFFFFF"/>
      <name val="Aptos"/>
    </font>
    <font>
      <b/>
      <sz val="12"/>
      <color rgb="FF25313B"/>
      <name val="Aptos"/>
    </font>
    <font>
      <b/>
      <sz val="10"/>
      <color rgb="FF25313B"/>
      <name val="Aptos"/>
    </font>
    <font>
      <b/>
      <sz val="9"/>
      <color rgb="FF6B7782"/>
      <name val="Aptos"/>
    </font>
    <font>
      <b/>
      <sz val="12"/>
      <color rgb="FF50BE87"/>
      <name val="Aptos"/>
    </font>
    <font>
      <b/>
      <sz val="10"/>
      <color rgb="FFA885D8"/>
      <name val="Aptos"/>
    </font>
    <font>
      <b/>
      <sz val="11"/>
      <color rgb="FFD94C4C"/>
      <name val="Aptos"/>
    </font>
    <font>
      <b/>
      <sz val="9"/>
      <color rgb="FFD94C4C"/>
      <name val="Aptos"/>
    </font>
    <font>
      <b/>
      <sz val="16"/>
      <color rgb="FFFFFFFF"/>
      <name val="Aptos"/>
    </font>
    <font>
      <b/>
      <sz val="9"/>
      <color rgb="FF50BE87"/>
      <name val="Aptos"/>
    </font>
    <font>
      <sz val="8"/>
      <color rgb="FF6B7782"/>
      <name val="Aptos"/>
    </font>
    <font>
      <sz val="9"/>
      <color rgb="FFFF0000"/>
      <name val="Aptos"/>
      <family val="2"/>
    </font>
    <font>
      <b/>
      <sz val="10"/>
      <color rgb="FF50BE87"/>
      <name val="Dubai"/>
      <family val="2"/>
    </font>
    <font>
      <b/>
      <sz val="12"/>
      <color rgb="FFFF7900"/>
      <name val="Dubai"/>
      <family val="2"/>
    </font>
    <font>
      <b/>
      <sz val="11"/>
      <color rgb="FF25313B"/>
      <name val="Aptos"/>
      <family val="2"/>
    </font>
    <font>
      <b/>
      <sz val="14"/>
      <color rgb="FFFF7900"/>
      <name val="Dubai"/>
      <family val="2"/>
    </font>
    <font>
      <b/>
      <sz val="14"/>
      <color rgb="FFA885D8"/>
      <name val="Dubai"/>
      <family val="2"/>
    </font>
    <font>
      <sz val="8"/>
      <color rgb="FF6B7782"/>
      <name val="Aptos"/>
      <family val="2"/>
    </font>
    <font>
      <b/>
      <sz val="16"/>
      <color rgb="FF50BE87"/>
      <name val="Dubai"/>
      <family val="2"/>
    </font>
    <font>
      <b/>
      <sz val="16"/>
      <color rgb="FFFF7900"/>
      <name val="Duba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74550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EAF8F1"/>
      </patternFill>
    </fill>
    <fill>
      <patternFill patternType="solid">
        <fgColor rgb="FFFAFBFC"/>
      </patternFill>
    </fill>
    <fill>
      <patternFill patternType="solid">
        <fgColor rgb="FFFF7900"/>
      </patternFill>
    </fill>
    <fill>
      <patternFill patternType="solid">
        <fgColor rgb="FFFCECEC"/>
      </patternFill>
    </fill>
    <fill>
      <patternFill patternType="solid">
        <fgColor rgb="FF147EEA"/>
      </patternFill>
    </fill>
    <fill>
      <patternFill patternType="solid">
        <fgColor rgb="FFF3EFFB"/>
      </patternFill>
    </fill>
    <fill>
      <patternFill patternType="solid">
        <fgColor rgb="FFFFF4CC"/>
      </patternFill>
    </fill>
    <fill>
      <patternFill patternType="solid">
        <fgColor rgb="FFA885D8"/>
      </patternFill>
    </fill>
    <fill>
      <patternFill patternType="solid">
        <fgColor rgb="FF50BE87"/>
      </patternFill>
    </fill>
    <fill>
      <patternFill patternType="solid">
        <fgColor rgb="FFFCECEC"/>
      </patternFill>
    </fill>
    <fill>
      <patternFill patternType="solid">
        <fgColor rgb="FFFAFBF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2" fontId="13" fillId="2" borderId="0" xfId="0" applyNumberFormat="1" applyFont="1" applyFill="1" applyAlignment="1">
      <alignment horizontal="left" vertical="center" wrapText="1"/>
    </xf>
    <xf numFmtId="0" fontId="20" fillId="5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left" vertical="center" wrapText="1"/>
    </xf>
    <xf numFmtId="0" fontId="13" fillId="12" borderId="0" xfId="0" applyFont="1" applyFill="1" applyAlignment="1">
      <alignment horizontal="left" vertical="center" wrapText="1"/>
    </xf>
    <xf numFmtId="0" fontId="28" fillId="7" borderId="0" xfId="0" applyFont="1" applyFill="1" applyAlignment="1">
      <alignment horizontal="center" vertical="center" wrapText="1"/>
    </xf>
    <xf numFmtId="2" fontId="13" fillId="12" borderId="0" xfId="0" applyNumberFormat="1" applyFont="1" applyFill="1" applyAlignment="1">
      <alignment horizontal="left" vertical="center" wrapText="1"/>
    </xf>
    <xf numFmtId="0" fontId="30" fillId="11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right" vertical="center" wrapText="1"/>
    </xf>
    <xf numFmtId="0" fontId="11" fillId="5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2" fillId="12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 wrapText="1"/>
    </xf>
    <xf numFmtId="0" fontId="24" fillId="9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6" fillId="1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29" fillId="6" borderId="0" xfId="0" applyFont="1" applyFill="1" applyAlignment="1">
      <alignment horizontal="center" vertical="center" wrapText="1"/>
    </xf>
    <xf numFmtId="0" fontId="30" fillId="11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left" vertical="center" wrapText="1"/>
    </xf>
    <xf numFmtId="0" fontId="31" fillId="9" borderId="0" xfId="0" applyFont="1" applyFill="1" applyAlignment="1">
      <alignment horizontal="center" vertical="center" wrapText="1"/>
    </xf>
    <xf numFmtId="0" fontId="32" fillId="9" borderId="0" xfId="0" applyFont="1" applyFill="1" applyAlignment="1">
      <alignment horizontal="center" vertical="center" wrapText="1"/>
    </xf>
    <xf numFmtId="0" fontId="31" fillId="15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 wrapText="1"/>
    </xf>
    <xf numFmtId="0" fontId="35" fillId="16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left" vertical="center" wrapText="1"/>
    </xf>
    <xf numFmtId="0" fontId="23" fillId="6" borderId="0" xfId="0" applyFont="1" applyFill="1" applyAlignment="1">
      <alignment horizontal="left" vertical="center" wrapText="1"/>
    </xf>
    <xf numFmtId="0" fontId="33" fillId="3" borderId="0" xfId="0" applyFont="1" applyFill="1" applyAlignment="1">
      <alignment horizontal="left" vertical="center" wrapText="1"/>
    </xf>
    <xf numFmtId="0" fontId="34" fillId="6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0" fontId="36" fillId="2" borderId="0" xfId="0" applyFont="1" applyFill="1" applyAlignment="1">
      <alignment horizontal="left" vertical="center" wrapText="1"/>
    </xf>
    <xf numFmtId="2" fontId="36" fillId="2" borderId="0" xfId="0" applyNumberFormat="1" applyFont="1" applyFill="1" applyAlignment="1">
      <alignment horizontal="left" vertical="center" wrapText="1"/>
    </xf>
    <xf numFmtId="0" fontId="37" fillId="6" borderId="0" xfId="0" applyFont="1" applyFill="1" applyAlignment="1">
      <alignment horizontal="center" vertical="center" wrapText="1"/>
    </xf>
    <xf numFmtId="0" fontId="38" fillId="4" borderId="0" xfId="0" applyFont="1" applyFill="1" applyAlignment="1">
      <alignment horizontal="left" vertical="center" wrapText="1"/>
    </xf>
    <xf numFmtId="0" fontId="13" fillId="17" borderId="0" xfId="0" applyFont="1" applyFill="1" applyAlignment="1">
      <alignment horizontal="left" vertical="center" wrapText="1"/>
    </xf>
    <xf numFmtId="0" fontId="0" fillId="17" borderId="0" xfId="0" applyFill="1"/>
    <xf numFmtId="0" fontId="39" fillId="7" borderId="0" xfId="0" applyFont="1" applyFill="1" applyAlignment="1">
      <alignment horizontal="center" vertical="center" wrapText="1"/>
    </xf>
    <xf numFmtId="0" fontId="40" fillId="4" borderId="0" xfId="0" applyFont="1" applyFill="1" applyAlignment="1">
      <alignment horizontal="left" vertical="center" wrapText="1"/>
    </xf>
    <xf numFmtId="0" fontId="41" fillId="11" borderId="0" xfId="0" applyFont="1" applyFill="1" applyAlignment="1">
      <alignment horizontal="left" vertical="center" wrapText="1"/>
    </xf>
    <xf numFmtId="0" fontId="42" fillId="16" borderId="0" xfId="0" quotePrefix="1" applyFont="1" applyFill="1" applyAlignment="1">
      <alignment horizontal="center" vertical="center" wrapText="1"/>
    </xf>
    <xf numFmtId="0" fontId="43" fillId="6" borderId="0" xfId="0" applyFont="1" applyFill="1" applyAlignment="1">
      <alignment horizontal="left" vertical="center" wrapText="1"/>
    </xf>
    <xf numFmtId="0" fontId="4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143250" cy="93345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000125" cy="295275"/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000125" cy="295275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1000125" cy="295275"/>
    <xdr:pic>
      <xdr:nvPicPr>
        <xdr:cNvPr id="2" name="/xl/media/image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3.8"/>
  <cols>
    <col min="1" max="1" width="5" customWidth="1"/>
    <col min="2" max="7" width="17" customWidth="1"/>
    <col min="8" max="8" width="5" customWidth="1"/>
  </cols>
  <sheetData>
    <row r="1" spans="1:8" ht="16.8" customHeight="1">
      <c r="A1" s="1"/>
      <c r="B1" s="1"/>
      <c r="C1" s="1"/>
      <c r="D1" s="1"/>
      <c r="E1" s="1"/>
      <c r="F1" s="1"/>
      <c r="G1" s="1"/>
      <c r="H1" s="1"/>
    </row>
    <row r="2" spans="1:8" ht="16.8" customHeight="1">
      <c r="A2" s="1"/>
      <c r="B2" s="1"/>
      <c r="C2" s="1"/>
      <c r="D2" s="1"/>
      <c r="E2" s="1"/>
      <c r="F2" s="1"/>
      <c r="G2" s="1"/>
      <c r="H2" s="1"/>
    </row>
    <row r="3" spans="1:8" ht="16.8" customHeight="1">
      <c r="A3" s="1"/>
      <c r="B3" s="1"/>
      <c r="C3" s="1"/>
      <c r="D3" s="1"/>
      <c r="E3" s="1"/>
      <c r="F3" s="1"/>
      <c r="G3" s="1"/>
      <c r="H3" s="1"/>
    </row>
    <row r="4" spans="1:8" ht="16.8" customHeight="1">
      <c r="A4" s="1"/>
      <c r="B4" s="1"/>
      <c r="C4" s="1"/>
      <c r="D4" s="1"/>
      <c r="E4" s="1"/>
      <c r="F4" s="1"/>
      <c r="G4" s="1"/>
      <c r="H4" s="1"/>
    </row>
    <row r="5" spans="1:8" ht="16.8" customHeight="1">
      <c r="A5" s="1"/>
      <c r="B5" s="1"/>
      <c r="C5" s="1"/>
      <c r="D5" s="1"/>
      <c r="E5" s="1"/>
      <c r="F5" s="1"/>
      <c r="G5" s="1"/>
      <c r="H5" s="1"/>
    </row>
    <row r="6" spans="1:8" ht="16.8" customHeight="1">
      <c r="A6" s="1"/>
      <c r="B6" s="1"/>
      <c r="C6" s="1"/>
      <c r="D6" s="1"/>
      <c r="E6" s="1"/>
      <c r="F6" s="1"/>
      <c r="G6" s="1"/>
      <c r="H6" s="1"/>
    </row>
    <row r="7" spans="1:8" ht="16.8" customHeight="1">
      <c r="A7" s="1"/>
      <c r="B7" s="1"/>
      <c r="C7" s="1"/>
      <c r="D7" s="1"/>
      <c r="E7" s="1"/>
      <c r="F7" s="1"/>
      <c r="G7" s="1"/>
      <c r="H7" s="1"/>
    </row>
    <row r="8" spans="1:8" ht="16.8" customHeight="1">
      <c r="A8" s="1"/>
      <c r="B8" s="1"/>
      <c r="C8" s="1"/>
      <c r="D8" s="1"/>
      <c r="E8" s="1"/>
      <c r="F8" s="1"/>
      <c r="G8" s="1"/>
      <c r="H8" s="1"/>
    </row>
    <row r="9" spans="1:8" ht="16.8" customHeight="1">
      <c r="A9" s="1"/>
      <c r="B9" s="15" t="s">
        <v>0</v>
      </c>
      <c r="C9" s="15"/>
      <c r="D9" s="15"/>
      <c r="E9" s="15"/>
      <c r="F9" s="15"/>
      <c r="G9" s="15"/>
      <c r="H9" s="1"/>
    </row>
    <row r="10" spans="1:8" ht="16.8" customHeight="1">
      <c r="A10" s="1"/>
      <c r="B10" s="15"/>
      <c r="C10" s="15"/>
      <c r="D10" s="15"/>
      <c r="E10" s="15"/>
      <c r="F10" s="15"/>
      <c r="G10" s="15"/>
      <c r="H10" s="1"/>
    </row>
    <row r="11" spans="1:8" ht="16.8" customHeight="1">
      <c r="A11" s="1"/>
      <c r="B11" s="15"/>
      <c r="C11" s="15"/>
      <c r="D11" s="15"/>
      <c r="E11" s="15"/>
      <c r="F11" s="15"/>
      <c r="G11" s="15"/>
      <c r="H11" s="1"/>
    </row>
    <row r="12" spans="1:8" ht="16.8" customHeight="1">
      <c r="A12" s="1"/>
      <c r="B12" s="1"/>
      <c r="C12" s="1"/>
      <c r="D12" s="1"/>
      <c r="E12" s="1"/>
      <c r="F12" s="1"/>
      <c r="G12" s="1"/>
      <c r="H12" s="1"/>
    </row>
    <row r="13" spans="1:8" ht="16.8" customHeight="1">
      <c r="A13" s="1"/>
      <c r="B13" s="16" t="s">
        <v>1</v>
      </c>
      <c r="C13" s="16"/>
      <c r="D13" s="16"/>
      <c r="E13" s="16"/>
      <c r="F13" s="16"/>
      <c r="G13" s="16"/>
      <c r="H13" s="1"/>
    </row>
    <row r="14" spans="1:8" ht="16.8" customHeight="1">
      <c r="A14" s="1"/>
      <c r="B14" s="16"/>
      <c r="C14" s="16"/>
      <c r="D14" s="16"/>
      <c r="E14" s="16"/>
      <c r="F14" s="16"/>
      <c r="G14" s="16"/>
      <c r="H14" s="1"/>
    </row>
    <row r="15" spans="1:8" ht="16.8" customHeight="1">
      <c r="A15" s="1"/>
      <c r="B15" s="1"/>
      <c r="C15" s="1"/>
      <c r="D15" s="1"/>
      <c r="E15" s="1"/>
      <c r="F15" s="1"/>
      <c r="G15" s="1"/>
      <c r="H15" s="1"/>
    </row>
    <row r="16" spans="1:8" ht="16.8" customHeight="1">
      <c r="A16" s="1"/>
      <c r="B16" s="1"/>
      <c r="C16" s="1"/>
      <c r="D16" s="1"/>
      <c r="E16" s="1"/>
      <c r="F16" s="1"/>
      <c r="G16" s="1"/>
      <c r="H16" s="1"/>
    </row>
    <row r="17" spans="1:8" ht="16.8" customHeight="1">
      <c r="A17" s="1"/>
      <c r="B17" s="17" t="s">
        <v>2</v>
      </c>
      <c r="C17" s="17"/>
      <c r="D17" s="17"/>
      <c r="E17" s="17"/>
      <c r="F17" s="17"/>
      <c r="G17" s="17"/>
      <c r="H17" s="1"/>
    </row>
    <row r="18" spans="1:8" ht="16.8" customHeight="1">
      <c r="A18" s="1"/>
      <c r="B18" s="17"/>
      <c r="C18" s="17"/>
      <c r="D18" s="17"/>
      <c r="E18" s="17"/>
      <c r="F18" s="17"/>
      <c r="G18" s="17"/>
      <c r="H18" s="1"/>
    </row>
    <row r="19" spans="1:8" ht="16.8" customHeight="1">
      <c r="A19" s="1"/>
      <c r="B19" s="1"/>
      <c r="C19" s="1"/>
      <c r="D19" s="1"/>
      <c r="E19" s="1"/>
      <c r="F19" s="1"/>
      <c r="G19" s="1"/>
      <c r="H19" s="1"/>
    </row>
    <row r="20" spans="1:8" ht="16.8" customHeight="1">
      <c r="A20" s="1"/>
      <c r="B20" s="1"/>
      <c r="C20" s="1"/>
      <c r="D20" s="1"/>
      <c r="E20" s="1"/>
      <c r="F20" s="1"/>
      <c r="G20" s="1"/>
      <c r="H20" s="1"/>
    </row>
    <row r="21" spans="1:8" ht="16.8" customHeight="1">
      <c r="A21" s="1"/>
      <c r="B21" s="17" t="s">
        <v>3</v>
      </c>
      <c r="C21" s="17"/>
      <c r="D21" s="18" t="s">
        <v>4</v>
      </c>
      <c r="E21" s="18"/>
      <c r="F21" s="19" t="s">
        <v>5</v>
      </c>
      <c r="G21" s="19"/>
      <c r="H21" s="1"/>
    </row>
    <row r="22" spans="1:8" ht="16.8" customHeight="1">
      <c r="A22" s="1"/>
      <c r="B22" s="17"/>
      <c r="C22" s="17"/>
      <c r="D22" s="18"/>
      <c r="E22" s="18"/>
      <c r="F22" s="19"/>
      <c r="G22" s="19"/>
      <c r="H22" s="1"/>
    </row>
    <row r="23" spans="1:8" ht="16.8" customHeight="1">
      <c r="A23" s="1"/>
      <c r="B23" s="17"/>
      <c r="C23" s="17"/>
      <c r="D23" s="18"/>
      <c r="E23" s="18"/>
      <c r="F23" s="19"/>
      <c r="G23" s="19"/>
      <c r="H23" s="1"/>
    </row>
    <row r="24" spans="1:8" ht="16.8" customHeight="1">
      <c r="A24" s="1"/>
      <c r="B24" s="1"/>
      <c r="C24" s="1"/>
      <c r="D24" s="1"/>
      <c r="E24" s="1"/>
      <c r="F24" s="1"/>
      <c r="G24" s="1"/>
      <c r="H24" s="1"/>
    </row>
    <row r="25" spans="1:8" ht="16.8" customHeight="1">
      <c r="A25" s="1"/>
      <c r="B25" s="1"/>
      <c r="C25" s="1"/>
      <c r="D25" s="1"/>
      <c r="E25" s="1"/>
      <c r="F25" s="1"/>
      <c r="G25" s="1"/>
      <c r="H25" s="1"/>
    </row>
    <row r="26" spans="1:8" ht="16.8" customHeight="1">
      <c r="A26" s="1"/>
      <c r="B26" s="20" t="s">
        <v>6</v>
      </c>
      <c r="C26" s="20"/>
      <c r="D26" s="20"/>
      <c r="E26" s="20"/>
      <c r="F26" s="20"/>
      <c r="G26" s="20"/>
      <c r="H26" s="1"/>
    </row>
    <row r="27" spans="1:8" ht="16.8" customHeight="1">
      <c r="A27" s="1"/>
      <c r="B27" s="20"/>
      <c r="C27" s="20"/>
      <c r="D27" s="20"/>
      <c r="E27" s="20"/>
      <c r="F27" s="20"/>
      <c r="G27" s="20"/>
      <c r="H27" s="1"/>
    </row>
    <row r="28" spans="1:8" ht="16.8" customHeight="1">
      <c r="A28" s="1"/>
      <c r="B28" s="20"/>
      <c r="C28" s="20"/>
      <c r="D28" s="20"/>
      <c r="E28" s="20"/>
      <c r="F28" s="20"/>
      <c r="G28" s="20"/>
      <c r="H28" s="1"/>
    </row>
    <row r="29" spans="1:8" ht="16.8" customHeight="1">
      <c r="A29" s="1"/>
      <c r="B29" s="1"/>
      <c r="C29" s="1"/>
      <c r="D29" s="1"/>
      <c r="E29" s="1"/>
      <c r="F29" s="1"/>
      <c r="G29" s="1"/>
      <c r="H29" s="1"/>
    </row>
    <row r="30" spans="1:8" ht="16.8" customHeight="1">
      <c r="A30" s="1"/>
      <c r="B30" s="21" t="s">
        <v>7</v>
      </c>
      <c r="C30" s="21"/>
      <c r="D30" s="21"/>
      <c r="E30" s="21"/>
      <c r="F30" s="21"/>
      <c r="G30" s="21"/>
      <c r="H30" s="1"/>
    </row>
  </sheetData>
  <mergeCells count="8">
    <mergeCell ref="B26:G28"/>
    <mergeCell ref="B30:G30"/>
    <mergeCell ref="B9:G11"/>
    <mergeCell ref="B13:G14"/>
    <mergeCell ref="B17:G18"/>
    <mergeCell ref="B21:C23"/>
    <mergeCell ref="D21:E23"/>
    <mergeCell ref="F21:G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showGridLines="0" topLeftCell="A20" workbookViewId="0">
      <selection activeCell="B36" sqref="B36"/>
    </sheetView>
  </sheetViews>
  <sheetFormatPr defaultRowHeight="13.8"/>
  <cols>
    <col min="1" max="1" width="13" customWidth="1"/>
    <col min="2" max="2" width="25" customWidth="1"/>
    <col min="3" max="3" width="19" customWidth="1"/>
    <col min="4" max="4" width="15" customWidth="1"/>
    <col min="5" max="5" width="16" customWidth="1"/>
    <col min="6" max="6" width="23" customWidth="1"/>
    <col min="7" max="7" width="4" customWidth="1"/>
    <col min="8" max="10" width="17" customWidth="1"/>
  </cols>
  <sheetData>
    <row r="1" spans="1:10" ht="16.8" customHeight="1">
      <c r="A1" s="22" t="s">
        <v>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6.8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 ht="25.8" customHeight="1">
      <c r="A3" s="55" t="s">
        <v>9</v>
      </c>
      <c r="B3" s="55"/>
      <c r="C3" s="55"/>
      <c r="D3" s="55"/>
      <c r="E3" s="55"/>
      <c r="F3" s="55"/>
      <c r="G3" s="55"/>
      <c r="H3" s="55"/>
      <c r="I3" s="55"/>
      <c r="J3" s="55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4" t="s">
        <v>10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t="16.8" customHeigh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0" ht="16.8" customHeight="1">
      <c r="A7" s="55" t="s">
        <v>144</v>
      </c>
      <c r="B7" s="55"/>
      <c r="C7" s="55"/>
      <c r="D7" s="55"/>
      <c r="E7" s="55"/>
      <c r="F7" s="55"/>
      <c r="G7" s="55"/>
      <c r="H7" s="55"/>
      <c r="I7" s="55"/>
      <c r="J7" s="55"/>
    </row>
    <row r="8" spans="1:10" ht="16.8" customHeight="1">
      <c r="A8" s="55"/>
      <c r="B8" s="55"/>
      <c r="C8" s="55"/>
      <c r="D8" s="55"/>
      <c r="E8" s="55"/>
      <c r="F8" s="55"/>
      <c r="G8" s="55"/>
      <c r="H8" s="55"/>
      <c r="I8" s="55"/>
      <c r="J8" s="55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1"/>
      <c r="H10" s="25" t="s">
        <v>17</v>
      </c>
      <c r="I10" s="25"/>
      <c r="J10" s="25"/>
    </row>
    <row r="11" spans="1:10" ht="16.8" customHeight="1">
      <c r="A11" s="4" t="s">
        <v>18</v>
      </c>
      <c r="B11" s="4" t="s">
        <v>19</v>
      </c>
      <c r="C11" s="4" t="s">
        <v>20</v>
      </c>
      <c r="D11" s="4" t="s">
        <v>21</v>
      </c>
      <c r="E11" s="5">
        <v>45</v>
      </c>
      <c r="F11" s="4" t="s">
        <v>22</v>
      </c>
      <c r="G11" s="1"/>
      <c r="H11" s="25"/>
      <c r="I11" s="25"/>
      <c r="J11" s="25"/>
    </row>
    <row r="12" spans="1:10" ht="16.8" customHeight="1">
      <c r="A12" s="4" t="s">
        <v>23</v>
      </c>
      <c r="B12" s="4" t="s">
        <v>24</v>
      </c>
      <c r="C12" s="4" t="s">
        <v>20</v>
      </c>
      <c r="D12" s="4" t="s">
        <v>25</v>
      </c>
      <c r="E12" s="5">
        <v>55</v>
      </c>
      <c r="F12" s="4" t="s">
        <v>22</v>
      </c>
      <c r="G12" s="1"/>
      <c r="H12" s="25"/>
      <c r="I12" s="25"/>
      <c r="J12" s="25"/>
    </row>
    <row r="13" spans="1:10" ht="16.8" customHeight="1">
      <c r="A13" s="4" t="s">
        <v>26</v>
      </c>
      <c r="B13" s="4" t="s">
        <v>27</v>
      </c>
      <c r="C13" s="4" t="s">
        <v>28</v>
      </c>
      <c r="D13" s="4" t="s">
        <v>25</v>
      </c>
      <c r="E13" s="5">
        <v>35</v>
      </c>
      <c r="F13" s="4" t="s">
        <v>29</v>
      </c>
      <c r="G13" s="1"/>
      <c r="H13" s="25"/>
      <c r="I13" s="25"/>
      <c r="J13" s="25"/>
    </row>
    <row r="14" spans="1:10" ht="16.8" customHeight="1">
      <c r="A14" s="4" t="s">
        <v>30</v>
      </c>
      <c r="B14" s="4" t="s">
        <v>31</v>
      </c>
      <c r="C14" s="4" t="s">
        <v>28</v>
      </c>
      <c r="D14" s="4" t="s">
        <v>21</v>
      </c>
      <c r="E14" s="5">
        <v>65</v>
      </c>
      <c r="F14" s="4" t="s">
        <v>29</v>
      </c>
      <c r="G14" s="1"/>
      <c r="H14" s="25"/>
      <c r="I14" s="25"/>
      <c r="J14" s="25"/>
    </row>
    <row r="15" spans="1:10" ht="16.8" customHeight="1">
      <c r="A15" s="4" t="s">
        <v>32</v>
      </c>
      <c r="B15" s="4" t="s">
        <v>33</v>
      </c>
      <c r="C15" s="4" t="s">
        <v>34</v>
      </c>
      <c r="D15" s="4" t="s">
        <v>21</v>
      </c>
      <c r="E15" s="5">
        <v>25</v>
      </c>
      <c r="F15" s="4" t="s">
        <v>35</v>
      </c>
      <c r="G15" s="1"/>
      <c r="H15" s="25"/>
      <c r="I15" s="25"/>
      <c r="J15" s="25"/>
    </row>
    <row r="16" spans="1:10" ht="16.8" customHeight="1">
      <c r="A16" s="4" t="s">
        <v>36</v>
      </c>
      <c r="B16" s="4" t="s">
        <v>37</v>
      </c>
      <c r="C16" s="4" t="s">
        <v>34</v>
      </c>
      <c r="D16" s="4" t="s">
        <v>21</v>
      </c>
      <c r="E16" s="5">
        <v>38</v>
      </c>
      <c r="F16" s="4" t="s">
        <v>35</v>
      </c>
      <c r="G16" s="1"/>
      <c r="H16" s="1"/>
      <c r="I16" s="1"/>
      <c r="J16" s="1"/>
    </row>
    <row r="17" spans="1:10" ht="16.8" customHeight="1">
      <c r="A17" s="4" t="s">
        <v>38</v>
      </c>
      <c r="B17" s="4" t="s">
        <v>39</v>
      </c>
      <c r="C17" s="4" t="s">
        <v>40</v>
      </c>
      <c r="D17" s="4" t="s">
        <v>21</v>
      </c>
      <c r="E17" s="5">
        <v>120</v>
      </c>
      <c r="F17" s="4" t="s">
        <v>41</v>
      </c>
      <c r="G17" s="1"/>
      <c r="H17" s="26" t="s">
        <v>42</v>
      </c>
      <c r="I17" s="26"/>
      <c r="J17" s="26"/>
    </row>
    <row r="18" spans="1:10" ht="16.8" customHeight="1">
      <c r="A18" s="56" t="s">
        <v>43</v>
      </c>
      <c r="B18" s="56" t="s">
        <v>44</v>
      </c>
      <c r="C18" s="56" t="s">
        <v>40</v>
      </c>
      <c r="D18" s="56" t="s">
        <v>21</v>
      </c>
      <c r="E18" s="57">
        <v>180</v>
      </c>
      <c r="F18" s="56" t="s">
        <v>41</v>
      </c>
      <c r="G18" s="1"/>
      <c r="H18" s="26"/>
      <c r="I18" s="26"/>
      <c r="J18" s="26"/>
    </row>
    <row r="19" spans="1:10" ht="16.8" customHeight="1">
      <c r="A19" s="4" t="s">
        <v>45</v>
      </c>
      <c r="B19" s="4" t="s">
        <v>46</v>
      </c>
      <c r="C19" s="4" t="s">
        <v>47</v>
      </c>
      <c r="D19" s="4" t="s">
        <v>25</v>
      </c>
      <c r="E19" s="5">
        <v>70</v>
      </c>
      <c r="F19" s="4" t="s">
        <v>41</v>
      </c>
      <c r="G19" s="1"/>
      <c r="H19" s="26"/>
      <c r="I19" s="26"/>
      <c r="J19" s="26"/>
    </row>
    <row r="20" spans="1:10" ht="16.8" customHeight="1">
      <c r="A20" s="4" t="s">
        <v>48</v>
      </c>
      <c r="B20" s="4" t="s">
        <v>49</v>
      </c>
      <c r="C20" s="4" t="s">
        <v>50</v>
      </c>
      <c r="D20" s="4" t="s">
        <v>25</v>
      </c>
      <c r="E20" s="5">
        <v>30</v>
      </c>
      <c r="F20" s="4" t="s">
        <v>51</v>
      </c>
      <c r="G20" s="1"/>
      <c r="H20" s="26"/>
      <c r="I20" s="26"/>
      <c r="J20" s="26"/>
    </row>
    <row r="21" spans="1:10" ht="16.8" customHeight="1">
      <c r="A21" s="4" t="s">
        <v>52</v>
      </c>
      <c r="B21" s="4" t="s">
        <v>53</v>
      </c>
      <c r="C21" s="4" t="s">
        <v>50</v>
      </c>
      <c r="D21" s="4" t="s">
        <v>21</v>
      </c>
      <c r="E21" s="5">
        <v>55</v>
      </c>
      <c r="F21" s="4" t="s">
        <v>51</v>
      </c>
      <c r="G21" s="1"/>
      <c r="H21" s="26"/>
      <c r="I21" s="26"/>
      <c r="J21" s="26"/>
    </row>
    <row r="22" spans="1:10" ht="16.8" customHeight="1">
      <c r="A22" s="4" t="s">
        <v>54</v>
      </c>
      <c r="B22" s="4" t="s">
        <v>55</v>
      </c>
      <c r="C22" s="4" t="s">
        <v>56</v>
      </c>
      <c r="D22" s="4" t="s">
        <v>25</v>
      </c>
      <c r="E22" s="5">
        <v>95</v>
      </c>
      <c r="F22" s="4" t="s">
        <v>51</v>
      </c>
      <c r="G22" s="1"/>
      <c r="H22" s="26"/>
      <c r="I22" s="26"/>
      <c r="J22" s="26"/>
    </row>
    <row r="23" spans="1:10" ht="16.8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20" t="s">
        <v>57</v>
      </c>
      <c r="B25" s="20"/>
      <c r="C25" s="20"/>
      <c r="D25" s="20"/>
      <c r="E25" s="20"/>
      <c r="F25" s="20"/>
      <c r="G25" s="20"/>
      <c r="H25" s="20"/>
      <c r="I25" s="20"/>
      <c r="J25" s="20"/>
    </row>
    <row r="26" spans="1:10" ht="16.8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spans="1:10" ht="16.8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6.8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6.8" customHeight="1">
      <c r="A29" s="58" t="s">
        <v>146</v>
      </c>
      <c r="B29" s="31"/>
      <c r="C29" s="31"/>
      <c r="D29" s="31"/>
      <c r="E29" s="31"/>
      <c r="F29" s="31"/>
      <c r="G29" s="31"/>
      <c r="H29" s="31"/>
      <c r="I29" s="31"/>
      <c r="J29" s="31"/>
    </row>
    <row r="30" spans="1:10" ht="16.8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 spans="1:10" ht="16.8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</row>
    <row r="32" spans="1:10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5" spans="1:10">
      <c r="A35" s="3" t="s">
        <v>11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16</v>
      </c>
    </row>
    <row r="36" spans="1:10">
      <c r="A36" s="60" t="s">
        <v>23</v>
      </c>
      <c r="B36" s="61"/>
      <c r="C36" s="61"/>
      <c r="D36" s="61"/>
      <c r="E36" s="61"/>
      <c r="F36" s="61"/>
    </row>
    <row r="37" spans="1:10">
      <c r="A37" s="60" t="s">
        <v>26</v>
      </c>
      <c r="B37" s="61"/>
      <c r="C37" s="61"/>
      <c r="D37" s="61"/>
      <c r="E37" s="61"/>
      <c r="F37" s="61"/>
    </row>
    <row r="38" spans="1:10">
      <c r="A38" s="60" t="s">
        <v>30</v>
      </c>
      <c r="B38" s="61"/>
      <c r="C38" s="61"/>
      <c r="D38" s="61"/>
      <c r="E38" s="61"/>
      <c r="F38" s="61"/>
    </row>
    <row r="39" spans="1:10">
      <c r="A39" s="60" t="s">
        <v>32</v>
      </c>
      <c r="B39" s="61"/>
      <c r="C39" s="61"/>
      <c r="D39" s="61"/>
      <c r="E39" s="61"/>
      <c r="F39" s="61"/>
    </row>
  </sheetData>
  <mergeCells count="8">
    <mergeCell ref="H17:J22"/>
    <mergeCell ref="A25:J27"/>
    <mergeCell ref="A29:J31"/>
    <mergeCell ref="A1:J2"/>
    <mergeCell ref="A3:J3"/>
    <mergeCell ref="A5:J6"/>
    <mergeCell ref="A7:J8"/>
    <mergeCell ref="H10:J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topLeftCell="A8" workbookViewId="0">
      <selection activeCell="I22" sqref="I22:J22"/>
    </sheetView>
  </sheetViews>
  <sheetFormatPr defaultRowHeight="13.8"/>
  <cols>
    <col min="1" max="1" width="15" customWidth="1"/>
    <col min="2" max="3" width="21" customWidth="1"/>
    <col min="4" max="4" width="17" customWidth="1"/>
    <col min="5" max="9" width="18" customWidth="1"/>
    <col min="10" max="10" width="15" customWidth="1"/>
  </cols>
  <sheetData>
    <row r="1" spans="1:10" ht="16.8" customHeight="1">
      <c r="A1" s="27" t="s">
        <v>58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6.8" customHeight="1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28.2" customHeight="1">
      <c r="A3" s="59" t="s">
        <v>141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4" t="s">
        <v>59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t="16.8" customHeigh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0" ht="16.8" customHeight="1">
      <c r="A7" s="59" t="s">
        <v>147</v>
      </c>
      <c r="B7" s="59"/>
      <c r="C7" s="59"/>
      <c r="D7" s="59"/>
      <c r="E7" s="59"/>
      <c r="F7" s="59"/>
      <c r="G7" s="59"/>
      <c r="H7" s="59"/>
      <c r="I7" s="59"/>
      <c r="J7" s="59"/>
    </row>
    <row r="8" spans="1:10" ht="16.8" customHeight="1">
      <c r="A8" s="59"/>
      <c r="B8" s="59"/>
      <c r="C8" s="59"/>
      <c r="D8" s="59"/>
      <c r="E8" s="59"/>
      <c r="F8" s="59"/>
      <c r="G8" s="59"/>
      <c r="H8" s="59"/>
      <c r="I8" s="59"/>
      <c r="J8" s="59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28" t="s">
        <v>60</v>
      </c>
      <c r="B10" s="28"/>
      <c r="C10" s="28"/>
      <c r="D10" s="28"/>
      <c r="E10" s="28"/>
      <c r="F10" s="28"/>
      <c r="G10" s="28"/>
      <c r="H10" s="28"/>
      <c r="I10" s="28"/>
      <c r="J10" s="28"/>
    </row>
    <row r="11" spans="1:10" ht="16.8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16.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55.2" customHeight="1">
      <c r="A13" s="29" t="s">
        <v>61</v>
      </c>
      <c r="B13" s="29"/>
      <c r="C13" s="30" t="s">
        <v>62</v>
      </c>
      <c r="D13" s="30"/>
      <c r="E13" s="31" t="s">
        <v>148</v>
      </c>
      <c r="F13" s="31"/>
      <c r="G13" s="32" t="s">
        <v>145</v>
      </c>
      <c r="H13" s="32"/>
      <c r="I13" s="1"/>
      <c r="J13" s="1"/>
    </row>
    <row r="14" spans="1:10" ht="16.8" customHeight="1">
      <c r="A14" s="29"/>
      <c r="B14" s="29"/>
      <c r="C14" s="30"/>
      <c r="D14" s="30"/>
      <c r="E14" s="31"/>
      <c r="F14" s="31"/>
      <c r="G14" s="32"/>
      <c r="H14" s="32"/>
      <c r="I14" s="1"/>
      <c r="J14" s="1"/>
    </row>
    <row r="15" spans="1:10" ht="16.8" customHeight="1">
      <c r="A15" s="29"/>
      <c r="B15" s="29"/>
      <c r="C15" s="30"/>
      <c r="D15" s="30"/>
      <c r="E15" s="31"/>
      <c r="F15" s="31"/>
      <c r="G15" s="32"/>
      <c r="H15" s="32"/>
      <c r="I15" s="1"/>
      <c r="J15" s="1"/>
    </row>
    <row r="16" spans="1:10" ht="16.8" customHeight="1">
      <c r="A16" s="29"/>
      <c r="B16" s="29"/>
      <c r="C16" s="30"/>
      <c r="D16" s="30"/>
      <c r="E16" s="31"/>
      <c r="F16" s="31"/>
      <c r="G16" s="32"/>
      <c r="H16" s="32"/>
      <c r="I16" s="1"/>
      <c r="J16" s="1"/>
    </row>
    <row r="17" spans="1:10" ht="16.8" customHeight="1">
      <c r="A17" s="29"/>
      <c r="B17" s="29"/>
      <c r="C17" s="30"/>
      <c r="D17" s="30"/>
      <c r="E17" s="31"/>
      <c r="F17" s="31"/>
      <c r="G17" s="32"/>
      <c r="H17" s="32"/>
      <c r="I17" s="1"/>
      <c r="J17" s="1"/>
    </row>
    <row r="18" spans="1:10" ht="16.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.8" customHeight="1">
      <c r="A20" s="6">
        <v>1</v>
      </c>
      <c r="B20" s="6">
        <v>2</v>
      </c>
      <c r="C20" s="6">
        <v>3</v>
      </c>
      <c r="D20" s="6">
        <v>4</v>
      </c>
      <c r="E20" s="6">
        <v>5</v>
      </c>
      <c r="F20" s="6">
        <v>6</v>
      </c>
      <c r="G20" s="6">
        <v>7</v>
      </c>
      <c r="H20" s="1"/>
      <c r="I20" s="33" t="s">
        <v>63</v>
      </c>
      <c r="J20" s="33"/>
    </row>
    <row r="21" spans="1:10" ht="16.8" customHeight="1">
      <c r="A21" s="3" t="s">
        <v>11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64</v>
      </c>
      <c r="H21" s="1"/>
      <c r="I21" s="33"/>
      <c r="J21" s="33"/>
    </row>
    <row r="22" spans="1:10" ht="16.8" customHeight="1">
      <c r="A22" s="4" t="s">
        <v>43</v>
      </c>
      <c r="B22" s="4" t="s">
        <v>44</v>
      </c>
      <c r="C22" s="4" t="s">
        <v>40</v>
      </c>
      <c r="D22" s="4" t="s">
        <v>21</v>
      </c>
      <c r="E22" s="5">
        <v>180</v>
      </c>
      <c r="F22" s="4" t="s">
        <v>41</v>
      </c>
      <c r="G22" s="4" t="s">
        <v>65</v>
      </c>
      <c r="H22" s="1"/>
      <c r="I22" s="34" t="s">
        <v>43</v>
      </c>
      <c r="J22" s="34"/>
    </row>
    <row r="23" spans="1:10" ht="16.8" customHeight="1">
      <c r="A23" s="4" t="s">
        <v>66</v>
      </c>
      <c r="B23" s="4" t="s">
        <v>67</v>
      </c>
      <c r="C23" s="4" t="s">
        <v>68</v>
      </c>
      <c r="D23" s="4" t="s">
        <v>21</v>
      </c>
      <c r="E23" s="5">
        <v>140</v>
      </c>
      <c r="F23" s="4" t="s">
        <v>69</v>
      </c>
      <c r="G23" s="4" t="s">
        <v>65</v>
      </c>
      <c r="H23" s="1"/>
      <c r="I23" s="1"/>
      <c r="J23" s="1"/>
    </row>
    <row r="24" spans="1:10" ht="16.8" customHeight="1">
      <c r="A24" s="4" t="s">
        <v>70</v>
      </c>
      <c r="B24" s="4" t="s">
        <v>71</v>
      </c>
      <c r="C24" s="4" t="s">
        <v>72</v>
      </c>
      <c r="D24" s="4" t="s">
        <v>25</v>
      </c>
      <c r="E24" s="5">
        <v>28</v>
      </c>
      <c r="F24" s="4" t="s">
        <v>22</v>
      </c>
      <c r="G24" s="4" t="s">
        <v>73</v>
      </c>
      <c r="H24" s="1"/>
      <c r="I24" s="35" t="s">
        <v>74</v>
      </c>
      <c r="J24" s="35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35"/>
      <c r="J25" s="35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36" t="str">
        <f>VLOOKUP(I22,$A$22:$G$24,2,FALSE)</f>
        <v>Cloud Link</v>
      </c>
      <c r="J26" s="36"/>
    </row>
    <row r="27" spans="1:10" ht="16.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6.8" customHeight="1">
      <c r="A28" s="62" t="s">
        <v>158</v>
      </c>
      <c r="B28" s="37"/>
      <c r="C28" s="37"/>
      <c r="D28" s="37"/>
      <c r="E28" s="37"/>
      <c r="F28" s="37"/>
      <c r="G28" s="37"/>
      <c r="H28" s="37"/>
      <c r="I28" s="37"/>
      <c r="J28" s="37"/>
    </row>
    <row r="29" spans="1:10" ht="16.8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</row>
    <row r="30" spans="1:10" ht="16.8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38" t="s">
        <v>75</v>
      </c>
      <c r="B32" s="38"/>
      <c r="C32" s="38"/>
      <c r="D32" s="38"/>
      <c r="E32" s="38"/>
      <c r="F32" s="38"/>
      <c r="G32" s="38"/>
      <c r="H32" s="38"/>
      <c r="I32" s="38"/>
      <c r="J32" s="38"/>
    </row>
    <row r="33" spans="1:10" ht="16.8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</row>
    <row r="34" spans="1:10" ht="16.8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</row>
    <row r="35" spans="1:10" ht="16.8" customHeight="1">
      <c r="A35" s="23" t="s">
        <v>149</v>
      </c>
      <c r="B35" s="23"/>
      <c r="C35" s="23"/>
      <c r="D35" s="23"/>
      <c r="E35" s="23"/>
      <c r="F35" s="23"/>
      <c r="G35" s="23"/>
      <c r="H35" s="23"/>
      <c r="I35" s="23"/>
      <c r="J35" s="23"/>
    </row>
    <row r="36" spans="1:10" ht="16.8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</row>
  </sheetData>
  <mergeCells count="16">
    <mergeCell ref="A35:J36"/>
    <mergeCell ref="I22:J22"/>
    <mergeCell ref="I24:J25"/>
    <mergeCell ref="I26:J26"/>
    <mergeCell ref="A28:J30"/>
    <mergeCell ref="A32:J34"/>
    <mergeCell ref="A13:B17"/>
    <mergeCell ref="C13:D17"/>
    <mergeCell ref="E13:F17"/>
    <mergeCell ref="G13:H17"/>
    <mergeCell ref="I20:J21"/>
    <mergeCell ref="A1:J2"/>
    <mergeCell ref="A3:J3"/>
    <mergeCell ref="A5:J6"/>
    <mergeCell ref="A7:J8"/>
    <mergeCell ref="A10:J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selection activeCell="B15" sqref="B15"/>
    </sheetView>
  </sheetViews>
  <sheetFormatPr defaultRowHeight="13.8"/>
  <cols>
    <col min="1" max="1" width="18" customWidth="1"/>
    <col min="2" max="2" width="20" customWidth="1"/>
    <col min="3" max="3" width="25" customWidth="1"/>
    <col min="4" max="4" width="16" customWidth="1"/>
    <col min="5" max="6" width="18" customWidth="1"/>
    <col min="7" max="7" width="4" customWidth="1"/>
    <col min="8" max="10" width="18" customWidth="1"/>
  </cols>
  <sheetData>
    <row r="1" spans="1:10" ht="16.8" customHeight="1">
      <c r="A1" s="22" t="s">
        <v>76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6.8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 ht="16.8" customHeight="1">
      <c r="A3" s="63" t="s">
        <v>142</v>
      </c>
      <c r="B3" s="63"/>
      <c r="C3" s="63"/>
      <c r="D3" s="63"/>
      <c r="E3" s="63"/>
      <c r="F3" s="63"/>
      <c r="G3" s="63"/>
      <c r="H3" s="63"/>
      <c r="I3" s="63"/>
      <c r="J3" s="63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4" t="s">
        <v>77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t="16.8" customHeigh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0" ht="16.8" customHeight="1">
      <c r="A7" s="63" t="s">
        <v>150</v>
      </c>
      <c r="B7" s="63"/>
      <c r="C7" s="63"/>
      <c r="D7" s="63"/>
      <c r="E7" s="63"/>
      <c r="F7" s="63"/>
      <c r="G7" s="63"/>
      <c r="H7" s="63"/>
      <c r="I7" s="63"/>
      <c r="J7" s="63"/>
    </row>
    <row r="8" spans="1:10" ht="16.8" customHeight="1">
      <c r="A8" s="63"/>
      <c r="B8" s="63"/>
      <c r="C8" s="63"/>
      <c r="D8" s="63"/>
      <c r="E8" s="63"/>
      <c r="F8" s="63"/>
      <c r="G8" s="63"/>
      <c r="H8" s="63"/>
      <c r="I8" s="63"/>
      <c r="J8" s="63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39" t="s">
        <v>78</v>
      </c>
      <c r="B10" s="39"/>
      <c r="C10" s="40" t="s">
        <v>30</v>
      </c>
      <c r="D10" s="40"/>
      <c r="E10" s="1"/>
      <c r="F10" s="41" t="s">
        <v>79</v>
      </c>
      <c r="G10" s="41"/>
      <c r="H10" s="41"/>
      <c r="I10" s="41"/>
      <c r="J10" s="41"/>
    </row>
    <row r="11" spans="1:10" ht="16.8" customHeight="1">
      <c r="A11" s="39"/>
      <c r="B11" s="39"/>
      <c r="C11" s="40"/>
      <c r="D11" s="40"/>
      <c r="E11" s="1"/>
      <c r="F11" s="41"/>
      <c r="G11" s="41"/>
      <c r="H11" s="41"/>
      <c r="I11" s="41"/>
      <c r="J11" s="41"/>
    </row>
    <row r="12" spans="1:10" ht="16.8" customHeight="1">
      <c r="A12" s="1"/>
      <c r="B12" s="1"/>
      <c r="C12" s="1"/>
      <c r="D12" s="1"/>
      <c r="E12" s="1"/>
      <c r="F12" s="41"/>
      <c r="G12" s="41"/>
      <c r="H12" s="41"/>
      <c r="I12" s="41"/>
      <c r="J12" s="41"/>
    </row>
    <row r="13" spans="1:10" ht="16.8" customHeight="1">
      <c r="A13" s="1"/>
      <c r="B13" s="1"/>
      <c r="C13" s="1"/>
      <c r="D13" s="1"/>
      <c r="E13" s="1"/>
      <c r="F13" s="41"/>
      <c r="G13" s="41"/>
      <c r="H13" s="41"/>
      <c r="I13" s="41"/>
      <c r="J13" s="41"/>
    </row>
    <row r="14" spans="1:10" ht="16.8" customHeight="1">
      <c r="A14" s="3" t="s">
        <v>80</v>
      </c>
      <c r="B14" s="3" t="s">
        <v>81</v>
      </c>
      <c r="C14" s="3" t="s">
        <v>82</v>
      </c>
      <c r="D14" s="3" t="s">
        <v>83</v>
      </c>
      <c r="E14" s="1"/>
      <c r="F14" s="41"/>
      <c r="G14" s="41"/>
      <c r="H14" s="41"/>
      <c r="I14" s="41"/>
      <c r="J14" s="41"/>
    </row>
    <row r="15" spans="1:10" ht="27.15" customHeight="1">
      <c r="A15" s="4" t="s">
        <v>12</v>
      </c>
      <c r="B15" s="7"/>
      <c r="C15" s="2">
        <v>2</v>
      </c>
      <c r="D15" s="9" t="s">
        <v>84</v>
      </c>
      <c r="E15" s="1"/>
      <c r="F15" s="41"/>
      <c r="G15" s="41"/>
      <c r="H15" s="41"/>
      <c r="I15" s="41"/>
      <c r="J15" s="41"/>
    </row>
    <row r="16" spans="1:10" ht="27.15" customHeight="1">
      <c r="A16" s="4" t="s">
        <v>13</v>
      </c>
      <c r="B16" s="8"/>
      <c r="C16" s="2">
        <v>3</v>
      </c>
      <c r="D16" s="9" t="s">
        <v>85</v>
      </c>
      <c r="E16" s="1"/>
      <c r="F16" s="1"/>
      <c r="G16" s="1"/>
      <c r="H16" s="1"/>
      <c r="I16" s="1"/>
      <c r="J16" s="1"/>
    </row>
    <row r="17" spans="1:10" ht="27.15" customHeight="1">
      <c r="A17" s="4" t="s">
        <v>15</v>
      </c>
      <c r="B17" s="10"/>
      <c r="C17" s="2">
        <v>5</v>
      </c>
      <c r="D17" s="9" t="s">
        <v>85</v>
      </c>
      <c r="E17" s="1"/>
      <c r="F17" s="42" t="s">
        <v>86</v>
      </c>
      <c r="G17" s="42"/>
      <c r="H17" s="42"/>
      <c r="I17" s="42"/>
      <c r="J17" s="42"/>
    </row>
    <row r="18" spans="1:10" ht="27.15" customHeight="1">
      <c r="A18" s="4" t="s">
        <v>16</v>
      </c>
      <c r="B18" s="8"/>
      <c r="C18" s="2">
        <v>6</v>
      </c>
      <c r="D18" s="9" t="s">
        <v>85</v>
      </c>
      <c r="E18" s="1"/>
      <c r="F18" s="42"/>
      <c r="G18" s="42"/>
      <c r="H18" s="42"/>
      <c r="I18" s="42"/>
      <c r="J18" s="42"/>
    </row>
    <row r="19" spans="1:10" ht="27.15" customHeight="1">
      <c r="A19" s="4" t="s">
        <v>87</v>
      </c>
      <c r="B19" s="8"/>
      <c r="C19" s="2">
        <v>7</v>
      </c>
      <c r="D19" s="9" t="s">
        <v>85</v>
      </c>
      <c r="E19" s="1"/>
      <c r="F19" s="42"/>
      <c r="G19" s="42"/>
      <c r="H19" s="42"/>
      <c r="I19" s="42"/>
      <c r="J19" s="42"/>
    </row>
    <row r="20" spans="1:10" ht="16.8" customHeight="1">
      <c r="A20" s="1"/>
      <c r="B20" s="1"/>
      <c r="C20" s="1"/>
      <c r="D20" s="1"/>
      <c r="E20" s="1"/>
      <c r="F20" s="42"/>
      <c r="G20" s="42"/>
      <c r="H20" s="42"/>
      <c r="I20" s="42"/>
      <c r="J20" s="42"/>
    </row>
    <row r="21" spans="1:10" ht="16.8" customHeight="1">
      <c r="A21" s="1"/>
      <c r="B21" s="1"/>
      <c r="C21" s="1"/>
      <c r="D21" s="1"/>
      <c r="E21" s="1"/>
      <c r="F21" s="42"/>
      <c r="G21" s="42"/>
      <c r="H21" s="42"/>
      <c r="I21" s="42"/>
      <c r="J21" s="42"/>
    </row>
    <row r="22" spans="1:10" ht="16.8" customHeight="1">
      <c r="A22" s="1"/>
      <c r="B22" s="1"/>
      <c r="C22" s="1"/>
      <c r="D22" s="1"/>
      <c r="E22" s="1"/>
      <c r="F22" s="42"/>
      <c r="G22" s="42"/>
      <c r="H22" s="42"/>
      <c r="I22" s="42"/>
      <c r="J22" s="42"/>
    </row>
    <row r="23" spans="1:10" ht="16.8" customHeight="1">
      <c r="A23" s="20" t="s">
        <v>88</v>
      </c>
      <c r="B23" s="20"/>
      <c r="C23" s="20"/>
      <c r="D23" s="20"/>
      <c r="E23" s="20"/>
      <c r="F23" s="20"/>
      <c r="G23" s="20"/>
      <c r="H23" s="20"/>
      <c r="I23" s="20"/>
      <c r="J23" s="20"/>
    </row>
    <row r="24" spans="1:10" ht="16.8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ht="16.8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6.8" customHeight="1">
      <c r="A28" s="23" t="s">
        <v>151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 ht="16.8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spans="1:10" ht="16.8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43" t="s">
        <v>89</v>
      </c>
      <c r="B32" s="43"/>
      <c r="C32" s="43"/>
      <c r="D32" s="43"/>
      <c r="E32" s="43"/>
      <c r="F32" s="43"/>
      <c r="G32" s="43"/>
      <c r="H32" s="43"/>
      <c r="I32" s="43"/>
      <c r="J32" s="43"/>
    </row>
    <row r="33" spans="1:10" ht="16.8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</row>
    <row r="34" spans="1:10" ht="16.8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</row>
  </sheetData>
  <mergeCells count="11">
    <mergeCell ref="F17:J22"/>
    <mergeCell ref="A23:J25"/>
    <mergeCell ref="A28:J30"/>
    <mergeCell ref="A32:J34"/>
    <mergeCell ref="A1:J2"/>
    <mergeCell ref="A3:J3"/>
    <mergeCell ref="A5:J6"/>
    <mergeCell ref="A7:J8"/>
    <mergeCell ref="A10:B11"/>
    <mergeCell ref="C10:D11"/>
    <mergeCell ref="F10:J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topLeftCell="A4" workbookViewId="0">
      <selection activeCell="F22" sqref="F22:J24"/>
    </sheetView>
  </sheetViews>
  <sheetFormatPr defaultRowHeight="13.8"/>
  <cols>
    <col min="1" max="1" width="6" customWidth="1"/>
    <col min="2" max="2" width="24" customWidth="1"/>
    <col min="3" max="4" width="28" customWidth="1"/>
    <col min="5" max="5" width="4" customWidth="1"/>
    <col min="6" max="8" width="22" customWidth="1"/>
    <col min="9" max="10" width="18" customWidth="1"/>
  </cols>
  <sheetData>
    <row r="1" spans="1:10" ht="16.8" customHeight="1">
      <c r="A1" s="44" t="s">
        <v>90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6.8" customHeight="1">
      <c r="A2" s="44"/>
      <c r="B2" s="44"/>
      <c r="C2" s="44"/>
      <c r="D2" s="44"/>
      <c r="E2" s="44"/>
      <c r="F2" s="44"/>
      <c r="G2" s="44"/>
      <c r="H2" s="44"/>
      <c r="I2" s="44"/>
      <c r="J2" s="44"/>
    </row>
    <row r="3" spans="1:10" ht="33" customHeight="1">
      <c r="A3" s="64" t="s">
        <v>152</v>
      </c>
      <c r="B3" s="64"/>
      <c r="C3" s="64"/>
      <c r="D3" s="64"/>
      <c r="E3" s="64"/>
      <c r="F3" s="64"/>
      <c r="G3" s="64"/>
      <c r="H3" s="64"/>
      <c r="I3" s="64"/>
      <c r="J3" s="64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4" t="s">
        <v>91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t="16.8" customHeigh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0" ht="16.8" customHeight="1">
      <c r="A7" s="63" t="s">
        <v>153</v>
      </c>
      <c r="B7" s="63"/>
      <c r="C7" s="63"/>
      <c r="D7" s="63"/>
      <c r="E7" s="63"/>
      <c r="F7" s="63"/>
      <c r="G7" s="63"/>
      <c r="H7" s="63"/>
      <c r="I7" s="63"/>
      <c r="J7" s="63"/>
    </row>
    <row r="8" spans="1:10" ht="16.8" customHeight="1">
      <c r="A8" s="63"/>
      <c r="B8" s="63"/>
      <c r="C8" s="63"/>
      <c r="D8" s="63"/>
      <c r="E8" s="63"/>
      <c r="F8" s="63"/>
      <c r="G8" s="63"/>
      <c r="H8" s="63"/>
      <c r="I8" s="63"/>
      <c r="J8" s="63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12" t="s">
        <v>92</v>
      </c>
      <c r="B10" s="12" t="s">
        <v>93</v>
      </c>
      <c r="C10" s="12" t="s">
        <v>94</v>
      </c>
      <c r="D10" s="12" t="s">
        <v>95</v>
      </c>
      <c r="E10" s="1"/>
      <c r="F10" s="45" t="s">
        <v>96</v>
      </c>
      <c r="G10" s="45"/>
      <c r="H10" s="45"/>
      <c r="I10" s="45"/>
      <c r="J10" s="45"/>
    </row>
    <row r="11" spans="1:10" ht="35.25" customHeight="1">
      <c r="A11" s="11">
        <v>1</v>
      </c>
      <c r="B11" s="4" t="s">
        <v>97</v>
      </c>
      <c r="C11" s="4" t="s">
        <v>98</v>
      </c>
      <c r="D11" s="4" t="s">
        <v>99</v>
      </c>
      <c r="E11" s="1"/>
      <c r="F11" s="45"/>
      <c r="G11" s="45"/>
      <c r="H11" s="45"/>
      <c r="I11" s="45"/>
      <c r="J11" s="45"/>
    </row>
    <row r="12" spans="1:10" ht="35.25" customHeight="1">
      <c r="A12" s="11">
        <v>2</v>
      </c>
      <c r="B12" s="4" t="s">
        <v>100</v>
      </c>
      <c r="C12" s="4" t="s">
        <v>101</v>
      </c>
      <c r="D12" s="4" t="s">
        <v>102</v>
      </c>
      <c r="E12" s="1"/>
      <c r="F12" s="45"/>
      <c r="G12" s="45"/>
      <c r="H12" s="45"/>
      <c r="I12" s="45"/>
      <c r="J12" s="45"/>
    </row>
    <row r="13" spans="1:10" ht="35.25" customHeight="1">
      <c r="A13" s="11">
        <v>3</v>
      </c>
      <c r="B13" s="4" t="s">
        <v>103</v>
      </c>
      <c r="C13" s="4" t="s">
        <v>104</v>
      </c>
      <c r="D13" s="4" t="s">
        <v>105</v>
      </c>
      <c r="E13" s="1"/>
      <c r="F13" s="1"/>
      <c r="G13" s="1"/>
      <c r="H13" s="1"/>
      <c r="I13" s="1"/>
      <c r="J13" s="1"/>
    </row>
    <row r="14" spans="1:10" ht="35.25" customHeight="1">
      <c r="A14" s="11">
        <v>4</v>
      </c>
      <c r="B14" s="4" t="s">
        <v>106</v>
      </c>
      <c r="C14" s="4" t="s">
        <v>107</v>
      </c>
      <c r="D14" s="4" t="s">
        <v>108</v>
      </c>
      <c r="E14" s="1"/>
      <c r="F14" s="34" t="s">
        <v>109</v>
      </c>
      <c r="G14" s="34"/>
      <c r="H14" s="46" t="s">
        <v>110</v>
      </c>
      <c r="I14" s="46"/>
      <c r="J14" s="46"/>
    </row>
    <row r="15" spans="1:10" ht="16.8" customHeight="1">
      <c r="A15" s="1"/>
      <c r="B15" s="1"/>
      <c r="C15" s="1"/>
      <c r="D15" s="1"/>
      <c r="E15" s="1"/>
      <c r="F15" s="1"/>
      <c r="G15" s="1"/>
      <c r="H15" s="47" t="e">
        <f>VLOOKUP(F14,'06_SERVICE_MASTER'!$A$11:$G$30,2,FALSE)</f>
        <v>#N/A</v>
      </c>
      <c r="I15" s="47"/>
      <c r="J15" s="47"/>
    </row>
    <row r="16" spans="1:10" ht="16.8" customHeight="1">
      <c r="A16" s="1"/>
      <c r="B16" s="1"/>
      <c r="C16" s="1"/>
      <c r="D16" s="1"/>
      <c r="E16" s="1"/>
      <c r="F16" s="1"/>
      <c r="G16" s="1"/>
      <c r="H16" s="65"/>
      <c r="I16" s="50"/>
      <c r="J16" s="50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8" customHeight="1">
      <c r="A18" s="1"/>
      <c r="B18" s="1"/>
      <c r="C18" s="1"/>
      <c r="D18" s="1"/>
      <c r="E18" s="1"/>
      <c r="F18" s="35" t="s">
        <v>111</v>
      </c>
      <c r="G18" s="35"/>
      <c r="H18" s="35"/>
      <c r="I18" s="35"/>
      <c r="J18" s="35"/>
    </row>
    <row r="19" spans="1:10" ht="16.8" customHeight="1">
      <c r="A19" s="1"/>
      <c r="B19" s="1"/>
      <c r="C19" s="1"/>
      <c r="D19" s="1"/>
      <c r="E19" s="1"/>
      <c r="F19" s="35"/>
      <c r="G19" s="35"/>
      <c r="H19" s="35"/>
      <c r="I19" s="35"/>
      <c r="J19" s="35"/>
    </row>
    <row r="20" spans="1:10" ht="16.8" customHeight="1">
      <c r="A20" s="1"/>
      <c r="B20" s="1"/>
      <c r="C20" s="1"/>
      <c r="D20" s="1"/>
      <c r="E20" s="1"/>
      <c r="F20" s="48" t="str">
        <f>IFERROR(VLOOKUP(F14,'06_SERVICE_MASTER'!$A$11:$G$30,2,FALSE),"Not Found")</f>
        <v>Not Found</v>
      </c>
      <c r="G20" s="48"/>
      <c r="H20" s="48"/>
      <c r="I20" s="48"/>
      <c r="J20" s="48"/>
    </row>
    <row r="21" spans="1:10" ht="16.8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6.8" customHeight="1">
      <c r="A22" s="1"/>
      <c r="B22" s="1"/>
      <c r="C22" s="1"/>
      <c r="D22" s="1"/>
      <c r="E22" s="1"/>
      <c r="F22" s="49" t="s">
        <v>112</v>
      </c>
      <c r="G22" s="49"/>
      <c r="H22" s="49"/>
      <c r="I22" s="49"/>
      <c r="J22" s="49"/>
    </row>
    <row r="23" spans="1:10" ht="16.8" customHeight="1">
      <c r="A23" s="1"/>
      <c r="B23" s="1"/>
      <c r="C23" s="1"/>
      <c r="D23" s="1"/>
      <c r="E23" s="1"/>
      <c r="F23" s="49"/>
      <c r="G23" s="49"/>
      <c r="H23" s="49"/>
      <c r="I23" s="49"/>
      <c r="J23" s="49"/>
    </row>
    <row r="24" spans="1:10" ht="16.8" customHeight="1">
      <c r="A24" s="1"/>
      <c r="B24" s="1"/>
      <c r="C24" s="1"/>
      <c r="D24" s="1"/>
      <c r="E24" s="1"/>
      <c r="F24" s="49"/>
      <c r="G24" s="49"/>
      <c r="H24" s="49"/>
      <c r="I24" s="49"/>
      <c r="J24" s="49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8" customHeight="1">
      <c r="A26" s="39" t="s">
        <v>113</v>
      </c>
      <c r="B26" s="39"/>
      <c r="C26" s="39"/>
      <c r="D26" s="39"/>
      <c r="E26" s="39"/>
      <c r="F26" s="39"/>
      <c r="G26" s="39"/>
      <c r="H26" s="39"/>
      <c r="I26" s="39"/>
      <c r="J26" s="39"/>
    </row>
    <row r="27" spans="1:10" ht="16.8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</row>
    <row r="28" spans="1:10" ht="16.8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</row>
    <row r="29" spans="1:10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.8" customHeight="1">
      <c r="A30" s="23" t="s">
        <v>154</v>
      </c>
      <c r="B30" s="23"/>
      <c r="C30" s="23"/>
      <c r="D30" s="23"/>
      <c r="E30" s="23"/>
      <c r="F30" s="23"/>
      <c r="G30" s="23"/>
      <c r="H30" s="23"/>
      <c r="I30" s="23"/>
      <c r="J30" s="23"/>
    </row>
    <row r="31" spans="1:10" ht="16.8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10" ht="16.8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spans="1:10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mergeCells count="14">
    <mergeCell ref="F22:J24"/>
    <mergeCell ref="A26:J28"/>
    <mergeCell ref="A30:J32"/>
    <mergeCell ref="H16:J16"/>
    <mergeCell ref="F14:G14"/>
    <mergeCell ref="H14:J14"/>
    <mergeCell ref="H15:J15"/>
    <mergeCell ref="F18:J19"/>
    <mergeCell ref="F20:J20"/>
    <mergeCell ref="A1:J2"/>
    <mergeCell ref="A3:J3"/>
    <mergeCell ref="A5:J6"/>
    <mergeCell ref="A7:J8"/>
    <mergeCell ref="F10:J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topLeftCell="A11" workbookViewId="0">
      <selection activeCell="D12" sqref="D12"/>
    </sheetView>
  </sheetViews>
  <sheetFormatPr defaultRowHeight="13.8"/>
  <cols>
    <col min="1" max="1" width="13" customWidth="1"/>
    <col min="2" max="2" width="23" customWidth="1"/>
    <col min="3" max="3" width="20" customWidth="1"/>
    <col min="4" max="4" width="18" customWidth="1"/>
    <col min="5" max="5" width="24" customWidth="1"/>
    <col min="6" max="6" width="18" customWidth="1"/>
    <col min="7" max="7" width="4" customWidth="1"/>
    <col min="8" max="10" width="18" customWidth="1"/>
  </cols>
  <sheetData>
    <row r="1" spans="1:10" ht="16.8" customHeight="1">
      <c r="A1" s="51" t="s">
        <v>114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6.8" customHeight="1">
      <c r="A2" s="51"/>
      <c r="B2" s="51"/>
      <c r="C2" s="51"/>
      <c r="D2" s="51"/>
      <c r="E2" s="51"/>
      <c r="F2" s="51"/>
      <c r="G2" s="51"/>
      <c r="H2" s="51"/>
      <c r="I2" s="51"/>
      <c r="J2" s="51"/>
    </row>
    <row r="3" spans="1:10" ht="33" customHeight="1">
      <c r="A3" s="66" t="s">
        <v>155</v>
      </c>
      <c r="B3" s="66"/>
      <c r="C3" s="66"/>
      <c r="D3" s="66"/>
      <c r="E3" s="66"/>
      <c r="F3" s="66"/>
      <c r="G3" s="66"/>
      <c r="H3" s="66"/>
      <c r="I3" s="66"/>
      <c r="J3" s="66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24" t="s">
        <v>115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t="16.8" customHeigh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0" ht="16.8" customHeight="1">
      <c r="A7" s="67" t="s">
        <v>156</v>
      </c>
      <c r="B7" s="67"/>
      <c r="C7" s="67"/>
      <c r="D7" s="67"/>
      <c r="E7" s="67"/>
      <c r="F7" s="67"/>
      <c r="G7" s="67"/>
      <c r="H7" s="67"/>
      <c r="I7" s="67"/>
      <c r="J7" s="67"/>
    </row>
    <row r="8" spans="1:10" ht="16.8" customHeight="1">
      <c r="A8" s="67"/>
      <c r="B8" s="67"/>
      <c r="C8" s="67"/>
      <c r="D8" s="67"/>
      <c r="E8" s="67"/>
      <c r="F8" s="67"/>
      <c r="G8" s="67"/>
      <c r="H8" s="67"/>
      <c r="I8" s="67"/>
      <c r="J8" s="67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13" t="s">
        <v>11</v>
      </c>
      <c r="B10" s="13" t="s">
        <v>12</v>
      </c>
      <c r="C10" s="13" t="s">
        <v>13</v>
      </c>
      <c r="D10" s="13" t="s">
        <v>15</v>
      </c>
      <c r="E10" s="13" t="s">
        <v>16</v>
      </c>
      <c r="F10" s="13" t="s">
        <v>87</v>
      </c>
      <c r="G10" s="1"/>
      <c r="H10" s="52" t="s">
        <v>116</v>
      </c>
      <c r="I10" s="52"/>
      <c r="J10" s="52"/>
    </row>
    <row r="11" spans="1:10" ht="27.15" customHeight="1">
      <c r="A11" s="2" t="s">
        <v>18</v>
      </c>
      <c r="B11" s="8"/>
      <c r="C11" s="8"/>
      <c r="D11" s="10"/>
      <c r="E11" s="8"/>
      <c r="F11" s="8"/>
      <c r="G11" s="1"/>
      <c r="H11" s="52"/>
      <c r="I11" s="52"/>
      <c r="J11" s="52"/>
    </row>
    <row r="12" spans="1:10" ht="27.15" customHeight="1">
      <c r="A12" s="2" t="s">
        <v>43</v>
      </c>
      <c r="B12" s="8"/>
      <c r="C12" s="8"/>
      <c r="D12" s="10"/>
      <c r="E12" s="8"/>
      <c r="F12" s="8"/>
      <c r="G12" s="1"/>
      <c r="H12" s="52"/>
      <c r="I12" s="52"/>
      <c r="J12" s="52"/>
    </row>
    <row r="13" spans="1:10" ht="27.15" customHeight="1">
      <c r="A13" s="2" t="s">
        <v>66</v>
      </c>
      <c r="B13" s="8"/>
      <c r="C13" s="8"/>
      <c r="D13" s="10"/>
      <c r="E13" s="8"/>
      <c r="F13" s="8"/>
      <c r="G13" s="1"/>
      <c r="H13" s="52"/>
      <c r="I13" s="52"/>
      <c r="J13" s="52"/>
    </row>
    <row r="14" spans="1:10" ht="27.15" customHeight="1">
      <c r="A14" s="2" t="s">
        <v>70</v>
      </c>
      <c r="B14" s="8"/>
      <c r="C14" s="8"/>
      <c r="D14" s="10"/>
      <c r="E14" s="8"/>
      <c r="F14" s="8"/>
      <c r="G14" s="1"/>
      <c r="H14" s="52"/>
      <c r="I14" s="52"/>
      <c r="J14" s="52"/>
    </row>
    <row r="15" spans="1:10" ht="27.15" customHeight="1">
      <c r="A15" s="2" t="s">
        <v>109</v>
      </c>
      <c r="B15" s="8"/>
      <c r="C15" s="8"/>
      <c r="D15" s="10"/>
      <c r="E15" s="8"/>
      <c r="F15" s="8"/>
      <c r="G15" s="1"/>
      <c r="H15" s="52"/>
      <c r="I15" s="52"/>
      <c r="J15" s="52"/>
    </row>
    <row r="16" spans="1:10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8" customHeight="1">
      <c r="A18" s="49" t="s">
        <v>117</v>
      </c>
      <c r="B18" s="49"/>
      <c r="C18" s="49"/>
      <c r="D18" s="49"/>
      <c r="E18" s="49"/>
      <c r="F18" s="49"/>
      <c r="G18" s="49"/>
      <c r="H18" s="49"/>
      <c r="I18" s="49"/>
      <c r="J18" s="49"/>
    </row>
    <row r="19" spans="1:10" ht="16.8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</row>
    <row r="20" spans="1:10" ht="16.8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</row>
    <row r="21" spans="1:10" ht="16.8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6.8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6.8" customHeight="1">
      <c r="A23" s="20" t="s">
        <v>118</v>
      </c>
      <c r="B23" s="20"/>
      <c r="C23" s="20"/>
      <c r="D23" s="20"/>
      <c r="E23" s="20"/>
      <c r="F23" s="20"/>
      <c r="G23" s="20"/>
      <c r="H23" s="20"/>
      <c r="I23" s="20"/>
      <c r="J23" s="20"/>
    </row>
    <row r="24" spans="1:10" ht="16.8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ht="16.8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6.8" customHeight="1">
      <c r="A28" s="30" t="s">
        <v>119</v>
      </c>
      <c r="B28" s="30"/>
      <c r="C28" s="30"/>
      <c r="D28" s="30"/>
      <c r="E28" s="30"/>
      <c r="F28" s="30"/>
      <c r="G28" s="30"/>
      <c r="H28" s="30"/>
      <c r="I28" s="30"/>
      <c r="J28" s="30"/>
    </row>
    <row r="29" spans="1:10" ht="16.8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</row>
    <row r="30" spans="1:10" ht="16.8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8">
    <mergeCell ref="A18:J20"/>
    <mergeCell ref="A23:J25"/>
    <mergeCell ref="A28:J30"/>
    <mergeCell ref="A1:J2"/>
    <mergeCell ref="A3:J3"/>
    <mergeCell ref="A5:J6"/>
    <mergeCell ref="A7:J8"/>
    <mergeCell ref="H10:J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workbookViewId="0">
      <selection activeCell="A3" sqref="A3:G3"/>
    </sheetView>
  </sheetViews>
  <sheetFormatPr defaultRowHeight="13.8"/>
  <cols>
    <col min="1" max="1" width="15" customWidth="1"/>
    <col min="2" max="2" width="25" customWidth="1"/>
    <col min="3" max="3" width="22" customWidth="1"/>
    <col min="4" max="4" width="17" customWidth="1"/>
    <col min="5" max="5" width="16" customWidth="1"/>
    <col min="6" max="6" width="24" customWidth="1"/>
    <col min="7" max="7" width="16" customWidth="1"/>
  </cols>
  <sheetData>
    <row r="1" spans="1:7" ht="16.8" customHeight="1">
      <c r="A1" s="53" t="s">
        <v>120</v>
      </c>
      <c r="B1" s="53"/>
      <c r="C1" s="53"/>
      <c r="D1" s="53"/>
      <c r="E1" s="53"/>
      <c r="F1" s="53"/>
      <c r="G1" s="53"/>
    </row>
    <row r="2" spans="1:7" ht="16.8" customHeight="1">
      <c r="A2" s="53"/>
      <c r="B2" s="53"/>
      <c r="C2" s="53"/>
      <c r="D2" s="53"/>
      <c r="E2" s="53"/>
      <c r="F2" s="53"/>
      <c r="G2" s="53"/>
    </row>
    <row r="3" spans="1:7" ht="16.8" customHeight="1">
      <c r="A3" s="23" t="s">
        <v>143</v>
      </c>
      <c r="B3" s="23"/>
      <c r="C3" s="23"/>
      <c r="D3" s="23"/>
      <c r="E3" s="23"/>
      <c r="F3" s="23"/>
      <c r="G3" s="23"/>
    </row>
    <row r="4" spans="1:7" ht="16.8" customHeight="1">
      <c r="A4" s="1"/>
      <c r="B4" s="1"/>
      <c r="C4" s="1"/>
      <c r="D4" s="1"/>
      <c r="E4" s="1"/>
      <c r="F4" s="1"/>
      <c r="G4" s="1"/>
    </row>
    <row r="5" spans="1:7" ht="16.8" customHeight="1">
      <c r="A5" s="24" t="s">
        <v>121</v>
      </c>
      <c r="B5" s="24"/>
      <c r="C5" s="24"/>
      <c r="D5" s="24"/>
      <c r="E5" s="24"/>
      <c r="F5" s="24"/>
      <c r="G5" s="24"/>
    </row>
    <row r="6" spans="1:7" ht="16.8" customHeight="1">
      <c r="A6" s="24"/>
      <c r="B6" s="24"/>
      <c r="C6" s="24"/>
      <c r="D6" s="24"/>
      <c r="E6" s="24"/>
      <c r="F6" s="24"/>
      <c r="G6" s="24"/>
    </row>
    <row r="7" spans="1:7" ht="16.8" customHeight="1">
      <c r="A7" s="23" t="s">
        <v>157</v>
      </c>
      <c r="B7" s="23"/>
      <c r="C7" s="23"/>
      <c r="D7" s="23"/>
      <c r="E7" s="23"/>
      <c r="F7" s="23"/>
      <c r="G7" s="23"/>
    </row>
    <row r="8" spans="1:7" ht="16.8" customHeight="1">
      <c r="A8" s="23"/>
      <c r="B8" s="23"/>
      <c r="C8" s="23"/>
      <c r="D8" s="23"/>
      <c r="E8" s="23"/>
      <c r="F8" s="23"/>
      <c r="G8" s="23"/>
    </row>
    <row r="9" spans="1:7" ht="16.8" customHeight="1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</row>
    <row r="10" spans="1:7" ht="16.8" customHeight="1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87</v>
      </c>
    </row>
    <row r="11" spans="1:7" ht="16.8" customHeight="1">
      <c r="A11" s="14" t="s">
        <v>18</v>
      </c>
      <c r="B11" s="4" t="s">
        <v>19</v>
      </c>
      <c r="C11" s="4" t="s">
        <v>20</v>
      </c>
      <c r="D11" s="4" t="s">
        <v>21</v>
      </c>
      <c r="E11" s="5">
        <v>45</v>
      </c>
      <c r="F11" s="4" t="s">
        <v>22</v>
      </c>
      <c r="G11" s="4" t="s">
        <v>65</v>
      </c>
    </row>
    <row r="12" spans="1:7" ht="16.8" customHeight="1">
      <c r="A12" s="14" t="s">
        <v>23</v>
      </c>
      <c r="B12" s="4" t="s">
        <v>24</v>
      </c>
      <c r="C12" s="4" t="s">
        <v>20</v>
      </c>
      <c r="D12" s="4" t="s">
        <v>25</v>
      </c>
      <c r="E12" s="5">
        <v>55</v>
      </c>
      <c r="F12" s="4" t="s">
        <v>22</v>
      </c>
      <c r="G12" s="4" t="s">
        <v>65</v>
      </c>
    </row>
    <row r="13" spans="1:7" ht="16.8" customHeight="1">
      <c r="A13" s="14" t="s">
        <v>26</v>
      </c>
      <c r="B13" s="4" t="s">
        <v>27</v>
      </c>
      <c r="C13" s="4" t="s">
        <v>28</v>
      </c>
      <c r="D13" s="4" t="s">
        <v>25</v>
      </c>
      <c r="E13" s="5">
        <v>35</v>
      </c>
      <c r="F13" s="4" t="s">
        <v>29</v>
      </c>
      <c r="G13" s="4" t="s">
        <v>65</v>
      </c>
    </row>
    <row r="14" spans="1:7" ht="16.8" customHeight="1">
      <c r="A14" s="14" t="s">
        <v>30</v>
      </c>
      <c r="B14" s="4" t="s">
        <v>31</v>
      </c>
      <c r="C14" s="4" t="s">
        <v>28</v>
      </c>
      <c r="D14" s="4" t="s">
        <v>21</v>
      </c>
      <c r="E14" s="5">
        <v>65</v>
      </c>
      <c r="F14" s="4" t="s">
        <v>29</v>
      </c>
      <c r="G14" s="4" t="s">
        <v>65</v>
      </c>
    </row>
    <row r="15" spans="1:7" ht="16.8" customHeight="1">
      <c r="A15" s="14" t="s">
        <v>32</v>
      </c>
      <c r="B15" s="4" t="s">
        <v>33</v>
      </c>
      <c r="C15" s="4" t="s">
        <v>34</v>
      </c>
      <c r="D15" s="4" t="s">
        <v>21</v>
      </c>
      <c r="E15" s="5">
        <v>25</v>
      </c>
      <c r="F15" s="4" t="s">
        <v>35</v>
      </c>
      <c r="G15" s="4" t="s">
        <v>65</v>
      </c>
    </row>
    <row r="16" spans="1:7" ht="16.8" customHeight="1">
      <c r="A16" s="14" t="s">
        <v>36</v>
      </c>
      <c r="B16" s="4" t="s">
        <v>37</v>
      </c>
      <c r="C16" s="4" t="s">
        <v>34</v>
      </c>
      <c r="D16" s="4" t="s">
        <v>21</v>
      </c>
      <c r="E16" s="5">
        <v>38</v>
      </c>
      <c r="F16" s="4" t="s">
        <v>35</v>
      </c>
      <c r="G16" s="4" t="s">
        <v>65</v>
      </c>
    </row>
    <row r="17" spans="1:7" ht="16.8" customHeight="1">
      <c r="A17" s="14" t="s">
        <v>38</v>
      </c>
      <c r="B17" s="4" t="s">
        <v>39</v>
      </c>
      <c r="C17" s="4" t="s">
        <v>40</v>
      </c>
      <c r="D17" s="4" t="s">
        <v>21</v>
      </c>
      <c r="E17" s="5">
        <v>120</v>
      </c>
      <c r="F17" s="4" t="s">
        <v>41</v>
      </c>
      <c r="G17" s="4" t="s">
        <v>65</v>
      </c>
    </row>
    <row r="18" spans="1:7" ht="16.8" customHeight="1">
      <c r="A18" s="14" t="s">
        <v>43</v>
      </c>
      <c r="B18" s="4" t="s">
        <v>44</v>
      </c>
      <c r="C18" s="4" t="s">
        <v>40</v>
      </c>
      <c r="D18" s="4" t="s">
        <v>21</v>
      </c>
      <c r="E18" s="5">
        <v>180</v>
      </c>
      <c r="F18" s="4" t="s">
        <v>41</v>
      </c>
      <c r="G18" s="4" t="s">
        <v>65</v>
      </c>
    </row>
    <row r="19" spans="1:7" ht="16.8" customHeight="1">
      <c r="A19" s="14" t="s">
        <v>45</v>
      </c>
      <c r="B19" s="4" t="s">
        <v>46</v>
      </c>
      <c r="C19" s="4" t="s">
        <v>47</v>
      </c>
      <c r="D19" s="4" t="s">
        <v>25</v>
      </c>
      <c r="E19" s="5">
        <v>70</v>
      </c>
      <c r="F19" s="4" t="s">
        <v>41</v>
      </c>
      <c r="G19" s="4" t="s">
        <v>65</v>
      </c>
    </row>
    <row r="20" spans="1:7" ht="16.8" customHeight="1">
      <c r="A20" s="14" t="s">
        <v>48</v>
      </c>
      <c r="B20" s="4" t="s">
        <v>49</v>
      </c>
      <c r="C20" s="4" t="s">
        <v>50</v>
      </c>
      <c r="D20" s="4" t="s">
        <v>25</v>
      </c>
      <c r="E20" s="5">
        <v>30</v>
      </c>
      <c r="F20" s="4" t="s">
        <v>51</v>
      </c>
      <c r="G20" s="4" t="s">
        <v>65</v>
      </c>
    </row>
    <row r="21" spans="1:7" ht="16.8" customHeight="1">
      <c r="A21" s="14" t="s">
        <v>52</v>
      </c>
      <c r="B21" s="4" t="s">
        <v>53</v>
      </c>
      <c r="C21" s="4" t="s">
        <v>50</v>
      </c>
      <c r="D21" s="4" t="s">
        <v>21</v>
      </c>
      <c r="E21" s="5">
        <v>55</v>
      </c>
      <c r="F21" s="4" t="s">
        <v>51</v>
      </c>
      <c r="G21" s="4" t="s">
        <v>65</v>
      </c>
    </row>
    <row r="22" spans="1:7" ht="16.8" customHeight="1">
      <c r="A22" s="14" t="s">
        <v>54</v>
      </c>
      <c r="B22" s="4" t="s">
        <v>55</v>
      </c>
      <c r="C22" s="4" t="s">
        <v>56</v>
      </c>
      <c r="D22" s="4" t="s">
        <v>25</v>
      </c>
      <c r="E22" s="5">
        <v>95</v>
      </c>
      <c r="F22" s="4" t="s">
        <v>51</v>
      </c>
      <c r="G22" s="4" t="s">
        <v>65</v>
      </c>
    </row>
    <row r="23" spans="1:7" ht="16.8" customHeight="1">
      <c r="A23" s="14" t="s">
        <v>122</v>
      </c>
      <c r="B23" s="4" t="s">
        <v>123</v>
      </c>
      <c r="C23" s="4" t="s">
        <v>56</v>
      </c>
      <c r="D23" s="4" t="s">
        <v>21</v>
      </c>
      <c r="E23" s="5">
        <v>160</v>
      </c>
      <c r="F23" s="4" t="s">
        <v>51</v>
      </c>
      <c r="G23" s="4" t="s">
        <v>65</v>
      </c>
    </row>
    <row r="24" spans="1:7" ht="16.8" customHeight="1">
      <c r="A24" s="14" t="s">
        <v>66</v>
      </c>
      <c r="B24" s="4" t="s">
        <v>67</v>
      </c>
      <c r="C24" s="4" t="s">
        <v>68</v>
      </c>
      <c r="D24" s="4" t="s">
        <v>21</v>
      </c>
      <c r="E24" s="5">
        <v>140</v>
      </c>
      <c r="F24" s="4" t="s">
        <v>69</v>
      </c>
      <c r="G24" s="4" t="s">
        <v>65</v>
      </c>
    </row>
    <row r="25" spans="1:7" ht="16.8" customHeight="1">
      <c r="A25" s="14" t="s">
        <v>124</v>
      </c>
      <c r="B25" s="4" t="s">
        <v>125</v>
      </c>
      <c r="C25" s="4" t="s">
        <v>40</v>
      </c>
      <c r="D25" s="4" t="s">
        <v>21</v>
      </c>
      <c r="E25" s="5">
        <v>220</v>
      </c>
      <c r="F25" s="4" t="s">
        <v>41</v>
      </c>
      <c r="G25" s="4" t="s">
        <v>65</v>
      </c>
    </row>
    <row r="26" spans="1:7" ht="16.8" customHeight="1">
      <c r="A26" s="14" t="s">
        <v>126</v>
      </c>
      <c r="B26" s="4" t="s">
        <v>127</v>
      </c>
      <c r="C26" s="4" t="s">
        <v>128</v>
      </c>
      <c r="D26" s="4" t="s">
        <v>129</v>
      </c>
      <c r="E26" s="5">
        <v>12</v>
      </c>
      <c r="F26" s="4" t="s">
        <v>130</v>
      </c>
      <c r="G26" s="4" t="s">
        <v>65</v>
      </c>
    </row>
    <row r="27" spans="1:7" ht="16.8" customHeight="1">
      <c r="A27" s="14" t="s">
        <v>131</v>
      </c>
      <c r="B27" s="4" t="s">
        <v>132</v>
      </c>
      <c r="C27" s="4" t="s">
        <v>128</v>
      </c>
      <c r="D27" s="4" t="s">
        <v>21</v>
      </c>
      <c r="E27" s="5">
        <v>40</v>
      </c>
      <c r="F27" s="4" t="s">
        <v>130</v>
      </c>
      <c r="G27" s="4" t="s">
        <v>65</v>
      </c>
    </row>
    <row r="28" spans="1:7" ht="16.8" customHeight="1">
      <c r="A28" s="14" t="s">
        <v>133</v>
      </c>
      <c r="B28" s="4" t="s">
        <v>134</v>
      </c>
      <c r="C28" s="4" t="s">
        <v>34</v>
      </c>
      <c r="D28" s="4" t="s">
        <v>25</v>
      </c>
      <c r="E28" s="5">
        <v>18</v>
      </c>
      <c r="F28" s="4" t="s">
        <v>35</v>
      </c>
      <c r="G28" s="4" t="s">
        <v>65</v>
      </c>
    </row>
    <row r="29" spans="1:7" ht="16.8" customHeight="1">
      <c r="A29" s="14" t="s">
        <v>70</v>
      </c>
      <c r="B29" s="4" t="s">
        <v>71</v>
      </c>
      <c r="C29" s="4" t="s">
        <v>72</v>
      </c>
      <c r="D29" s="4" t="s">
        <v>25</v>
      </c>
      <c r="E29" s="5">
        <v>28</v>
      </c>
      <c r="F29" s="4" t="s">
        <v>22</v>
      </c>
      <c r="G29" s="4" t="s">
        <v>73</v>
      </c>
    </row>
    <row r="30" spans="1:7" ht="16.8" customHeight="1">
      <c r="A30" s="14" t="s">
        <v>135</v>
      </c>
      <c r="B30" s="4" t="s">
        <v>136</v>
      </c>
      <c r="C30" s="4" t="s">
        <v>137</v>
      </c>
      <c r="D30" s="4" t="s">
        <v>25</v>
      </c>
      <c r="E30" s="5">
        <v>15</v>
      </c>
      <c r="F30" s="4" t="s">
        <v>138</v>
      </c>
      <c r="G30" s="4" t="s">
        <v>139</v>
      </c>
    </row>
    <row r="31" spans="1:7" ht="16.8" customHeight="1">
      <c r="A31" s="1"/>
      <c r="B31" s="1"/>
      <c r="C31" s="1"/>
      <c r="D31" s="1"/>
      <c r="E31" s="1"/>
      <c r="F31" s="1"/>
      <c r="G31" s="1"/>
    </row>
    <row r="32" spans="1:7" ht="16.8" customHeight="1">
      <c r="A32" s="54" t="s">
        <v>140</v>
      </c>
      <c r="B32" s="54"/>
      <c r="C32" s="54"/>
      <c r="D32" s="54"/>
      <c r="E32" s="54"/>
      <c r="F32" s="54"/>
      <c r="G32" s="54"/>
    </row>
    <row r="33" spans="1:7" ht="16.8" customHeight="1">
      <c r="A33" s="54"/>
      <c r="B33" s="54"/>
      <c r="C33" s="54"/>
      <c r="D33" s="54"/>
      <c r="E33" s="54"/>
      <c r="F33" s="54"/>
      <c r="G33" s="54"/>
    </row>
    <row r="34" spans="1:7" ht="16.8" customHeight="1">
      <c r="A34" s="54"/>
      <c r="B34" s="54"/>
      <c r="C34" s="54"/>
      <c r="D34" s="54"/>
      <c r="E34" s="54"/>
      <c r="F34" s="54"/>
      <c r="G34" s="54"/>
    </row>
  </sheetData>
  <mergeCells count="5">
    <mergeCell ref="A1:G2"/>
    <mergeCell ref="A3:G3"/>
    <mergeCell ref="A5:G6"/>
    <mergeCell ref="A7:G8"/>
    <mergeCell ref="A32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00_COVER</vt:lpstr>
      <vt:lpstr>01_LOOKUP_STORY</vt:lpstr>
      <vt:lpstr>02_VLOOKUP_ANATOMY</vt:lpstr>
      <vt:lpstr>03_VLOOKUP_LAB</vt:lpstr>
      <vt:lpstr>04_COMMON_MISTAKES</vt:lpstr>
      <vt:lpstr>05_FINAL_CHALLENGE</vt:lpstr>
      <vt:lpstr>06_SERVICE_MASTER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Academy</cp:lastModifiedBy>
  <dcterms:modified xsi:type="dcterms:W3CDTF">2026-09-07T23:13:22Z</dcterms:modified>
</cp:coreProperties>
</file>