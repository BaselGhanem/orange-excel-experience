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sel\Desktop\D3\"/>
    </mc:Choice>
  </mc:AlternateContent>
  <xr:revisionPtr revIDLastSave="0" documentId="13_ncr:1_{B279E530-65E8-41DF-9D1A-9D3309D298C2}" xr6:coauthVersionLast="47" xr6:coauthVersionMax="47" xr10:uidLastSave="{00000000-0000-0000-0000-000000000000}"/>
  <bookViews>
    <workbookView xWindow="-108" yWindow="-108" windowWidth="23256" windowHeight="13896" firstSheet="2" activeTab="5" xr2:uid="{00000000-000D-0000-FFFF-FFFF00000000}"/>
  </bookViews>
  <sheets>
    <sheet name="00_COVER" sheetId="1" r:id="rId1"/>
    <sheet name="01_MANUAL_VS_ONE_CLICK" sheetId="2" r:id="rId2"/>
    <sheet name="02_RECORD_WITH_ME" sheetId="3" r:id="rId3"/>
    <sheet name="03_YOUR_PRACTICE" sheetId="4" r:id="rId4"/>
    <sheet name="04_PROTECT_THE_FILE" sheetId="5" r:id="rId5"/>
    <sheet name="06_PRACTICE_DATA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/>
  <c r="B13" i="5"/>
</calcChain>
</file>

<file path=xl/sharedStrings.xml><?xml version="1.0" encoding="utf-8"?>
<sst xmlns="http://schemas.openxmlformats.org/spreadsheetml/2006/main" count="728" uniqueCount="250">
  <si>
    <t>MACROS + PROTECTION • FINANCE / BACK OFFICE</t>
  </si>
  <si>
    <t>اعمل تقرير الاستثناءات مرة بإيدك • سجله • شغله بزر • احمي المعادلات</t>
  </si>
  <si>
    <t>DAY 3 • FILE 02 • CODERZ × ORANGE JORDAN</t>
  </si>
  <si>
    <t>1
DO IT MANUALLY</t>
  </si>
  <si>
    <t>2
RECORD IT</t>
  </si>
  <si>
    <t>3
PROTECT IT</t>
  </si>
  <si>
    <t>Manual Exception Report → Record Macro → Run → Button → Protect</t>
  </si>
  <si>
    <t>STEP 1 • BUILD THE FINANCE EXCEPTION REPORT MANUALLY</t>
  </si>
  <si>
    <t>خليهم يحسوا بتكرار التقرير قبل ما تحكي كلمة Macro</t>
  </si>
  <si>
    <t>YOUR MISSION • Build the finance exception report manually once.</t>
  </si>
  <si>
    <t>#</t>
  </si>
  <si>
    <t>MANUAL ACTION</t>
  </si>
  <si>
    <t>WHAT YOU DO</t>
  </si>
  <si>
    <t>DONE?</t>
  </si>
  <si>
    <t>Go to Practice Data</t>
  </si>
  <si>
    <t>Open 06_PRACTICE_DATA</t>
  </si>
  <si>
    <t>No</t>
  </si>
  <si>
    <t>Filter Approval Status = Pending Approval</t>
  </si>
  <si>
    <t>Use normal Filter</t>
  </si>
  <si>
    <t>Filter Requested Amount &gt; 2,500</t>
  </si>
  <si>
    <t>Apply number filter</t>
  </si>
  <si>
    <t>Filter Variance &lt; 0</t>
  </si>
  <si>
    <t>Show requests over available budget</t>
  </si>
  <si>
    <t>Copy the visible exceptions</t>
  </si>
  <si>
    <t>Paste them into your report area</t>
  </si>
  <si>
    <t>Return to this sheet</t>
  </si>
  <si>
    <t>You're done</t>
  </si>
  <si>
    <t>NOW SHOW THE IDEA • Excel can remember these finance-report steps and repeat them.</t>
  </si>
  <si>
    <t>هاي الصفحة هدفها Pain فقط. لا تشرح Macro هون.</t>
  </si>
  <si>
    <t>STEP 2 • RECORD THE FINANCE REPORT WITH ME</t>
  </si>
  <si>
    <t>هون بس امشِ معهم خطوة خطوة</t>
  </si>
  <si>
    <t>YOUR MISSION • Record the same finance exception task you just did manually.</t>
  </si>
  <si>
    <t>STEP</t>
  </si>
  <si>
    <t>YOU DO</t>
  </si>
  <si>
    <t>WHAT I SAY</t>
  </si>
  <si>
    <t>BUTTON TEXT
GENERATE FINANCE EXCEPTIONS</t>
  </si>
  <si>
    <t>Save As → Excel Macro-Enabled Workbook (*.xlsm)</t>
  </si>
  <si>
    <t>قبل أي Macro، لازم الملف يصير XLSM.</t>
  </si>
  <si>
    <t>Developer → Record Macro</t>
  </si>
  <si>
    <t>هسا Excel بلش يسجل حركاتي.</t>
  </si>
  <si>
    <t>Name it: Build_Finance_Exception_Report</t>
  </si>
  <si>
    <t>اسم واضح، بدون Spaces.</t>
  </si>
  <si>
    <t>Repeat the manual finance filter task</t>
  </si>
  <si>
    <t>اعمل نفس الخطوات اللي عملناها قبل شوي.</t>
  </si>
  <si>
    <t>Stop Recording</t>
  </si>
  <si>
    <t>خلصنا التسجيل.</t>
  </si>
  <si>
    <t>Developer → Macros → Run</t>
  </si>
  <si>
    <t>هسا خلينا نشوف Excel يعيدهم لحاله.</t>
  </si>
  <si>
    <t>THE WOW MOMENT
Click once.
Same finance report.
No repeated clicks.</t>
  </si>
  <si>
    <t>Insert Shape → Assign Macro</t>
  </si>
  <si>
    <t>المستخدم بده زر، مش Developer tab.</t>
  </si>
  <si>
    <t>MEMORY LINE • Manual once → Record → Stop → Run → Button</t>
  </si>
  <si>
    <t>DO NOT • Open VBA Editor. This is not a VBA lesson.</t>
  </si>
  <si>
    <t>STEP 3 • YOUR FINANCE PRACTICE</t>
  </si>
  <si>
    <t>هسا هم يسجلوا Macro بسيط لحالهم</t>
  </si>
  <si>
    <t>YOUR MISSION • Create ONE macro that saves repeated finance / back-office clicks.</t>
  </si>
  <si>
    <t>OPTION</t>
  </si>
  <si>
    <t>TASK</t>
  </si>
  <si>
    <t>BUTTON NAME</t>
  </si>
  <si>
    <t>RULE
Choose ONE task only.
Record it.
Assign it to a button.
Test it twice.</t>
  </si>
  <si>
    <t>A</t>
  </si>
  <si>
    <t>Filter Cost Center = CC-110 and copy results</t>
  </si>
  <si>
    <t>CC-110 REPORT</t>
  </si>
  <si>
    <t>B</t>
  </si>
  <si>
    <t>Filter Department = Operations</t>
  </si>
  <si>
    <t>OPERATIONS REPORT</t>
  </si>
  <si>
    <t>C</t>
  </si>
  <si>
    <t>Clear all filters and return to top</t>
  </si>
  <si>
    <t>RESET REPORT</t>
  </si>
  <si>
    <t>TRAINER CHECK • Don't ask for fancy macros. Check that they understand the sequence.</t>
  </si>
  <si>
    <t>إذا نجح الزر مرتين ورا بعض، الفكرة وصلت.</t>
  </si>
  <si>
    <t>STEP 4 • PROTECT THE FINANCE FILE</t>
  </si>
  <si>
    <t>الملف صار مرتب… شو لو حدا مسح Formula أو غيّر نتيجة بالغلط؟</t>
  </si>
  <si>
    <t>YOUR MISSION • Yellow input cells stay editable. Formula cells should be protected.</t>
  </si>
  <si>
    <t>FIELD</t>
  </si>
  <si>
    <t>VALUE</t>
  </si>
  <si>
    <t>SHOULD USER EDIT?</t>
  </si>
  <si>
    <t>WHY</t>
  </si>
  <si>
    <t>DO THIS WITH THEM
1. Select yellow input cells
2. Format Cells → Protection
3. Uncheck Locked
4. Review → Protect Sheet
5. Test both input + formula cells</t>
  </si>
  <si>
    <t>Cost Center</t>
  </si>
  <si>
    <t>CC-110</t>
  </si>
  <si>
    <t>Yes</t>
  </si>
  <si>
    <t>User selection</t>
  </si>
  <si>
    <t>Budget</t>
  </si>
  <si>
    <t>User input</t>
  </si>
  <si>
    <t>Actual Spend</t>
  </si>
  <si>
    <t>Utilization %</t>
  </si>
  <si>
    <t>Formula</t>
  </si>
  <si>
    <t>Budget Status</t>
  </si>
  <si>
    <t>KEY FACT • Cells are Locked by default, but it only matters after Protect Sheet.</t>
  </si>
  <si>
    <t>TEST • Yellow input cell should edit. Formula cell should refuse.</t>
  </si>
  <si>
    <t>Protection helps prevent accidental edits. It is not strong security.</t>
  </si>
  <si>
    <t>PRACTICE DATA • SYNTHETIC FINANCE / BACK OFFICE DATA</t>
  </si>
  <si>
    <t>هاي البيانات اللي تستخدمها بكل أمثلة الـMacro</t>
  </si>
  <si>
    <t>Filter this table manually first, then automate the same sequence.</t>
  </si>
  <si>
    <t>Request ID</t>
  </si>
  <si>
    <t>Date</t>
  </si>
  <si>
    <t>Department</t>
  </si>
  <si>
    <t>Expense Type</t>
  </si>
  <si>
    <t>Approval Status</t>
  </si>
  <si>
    <t>Requested Amount</t>
  </si>
  <si>
    <t>Budget Available</t>
  </si>
  <si>
    <t>Variance</t>
  </si>
  <si>
    <t>REQ-0001</t>
  </si>
  <si>
    <t>Operations</t>
  </si>
  <si>
    <t>Maintenance</t>
  </si>
  <si>
    <t>Pending Approval</t>
  </si>
  <si>
    <t>REQ-0002</t>
  </si>
  <si>
    <t>Finance</t>
  </si>
  <si>
    <t>CC-120</t>
  </si>
  <si>
    <t>Software</t>
  </si>
  <si>
    <t>REQ-0003</t>
  </si>
  <si>
    <t>Network</t>
  </si>
  <si>
    <t>CC-210</t>
  </si>
  <si>
    <t>Vendor Invoice</t>
  </si>
  <si>
    <t>REQ-0004</t>
  </si>
  <si>
    <t>Marketing Expense</t>
  </si>
  <si>
    <t>REQ-0005</t>
  </si>
  <si>
    <t>IT</t>
  </si>
  <si>
    <t>REQ-0006</t>
  </si>
  <si>
    <t>Customer Care</t>
  </si>
  <si>
    <t>CC-220</t>
  </si>
  <si>
    <t>Travel</t>
  </si>
  <si>
    <t>Approved</t>
  </si>
  <si>
    <t>REQ-0007</t>
  </si>
  <si>
    <t>Rejected</t>
  </si>
  <si>
    <t>REQ-0008</t>
  </si>
  <si>
    <t>REQ-0009</t>
  </si>
  <si>
    <t>CC-310</t>
  </si>
  <si>
    <t>Logistics</t>
  </si>
  <si>
    <t>REQ-0010</t>
  </si>
  <si>
    <t>Retail</t>
  </si>
  <si>
    <t>CC-510</t>
  </si>
  <si>
    <t>REQ-0011</t>
  </si>
  <si>
    <t>REQ-0012</t>
  </si>
  <si>
    <t>Marketing</t>
  </si>
  <si>
    <t>Training</t>
  </si>
  <si>
    <t>REQ-0013</t>
  </si>
  <si>
    <t>REQ-0014</t>
  </si>
  <si>
    <t>REQ-0015</t>
  </si>
  <si>
    <t>HR</t>
  </si>
  <si>
    <t>REQ-0016</t>
  </si>
  <si>
    <t>REQ-0017</t>
  </si>
  <si>
    <t>REQ-0018</t>
  </si>
  <si>
    <t>REQ-0019</t>
  </si>
  <si>
    <t>REQ-0020</t>
  </si>
  <si>
    <t>REQ-0021</t>
  </si>
  <si>
    <t>REQ-0022</t>
  </si>
  <si>
    <t>REQ-0023</t>
  </si>
  <si>
    <t>REQ-0024</t>
  </si>
  <si>
    <t>CC-610</t>
  </si>
  <si>
    <t>REQ-0025</t>
  </si>
  <si>
    <t>REQ-0026</t>
  </si>
  <si>
    <t>REQ-0027</t>
  </si>
  <si>
    <t>Office Expense</t>
  </si>
  <si>
    <t>REQ-0028</t>
  </si>
  <si>
    <t>REQ-0029</t>
  </si>
  <si>
    <t>CC-410</t>
  </si>
  <si>
    <t>REQ-0030</t>
  </si>
  <si>
    <t>REQ-0031</t>
  </si>
  <si>
    <t>REQ-0032</t>
  </si>
  <si>
    <t>REQ-0033</t>
  </si>
  <si>
    <t>REQ-0034</t>
  </si>
  <si>
    <t>REQ-0035</t>
  </si>
  <si>
    <t>REQ-0036</t>
  </si>
  <si>
    <t>REQ-0037</t>
  </si>
  <si>
    <t>REQ-0038</t>
  </si>
  <si>
    <t>REQ-0039</t>
  </si>
  <si>
    <t>REQ-0040</t>
  </si>
  <si>
    <t>REQ-0041</t>
  </si>
  <si>
    <t>REQ-0042</t>
  </si>
  <si>
    <t>REQ-0043</t>
  </si>
  <si>
    <t>REQ-0044</t>
  </si>
  <si>
    <t>REQ-0045</t>
  </si>
  <si>
    <t>REQ-0046</t>
  </si>
  <si>
    <t>REQ-0047</t>
  </si>
  <si>
    <t>REQ-0048</t>
  </si>
  <si>
    <t>REQ-0049</t>
  </si>
  <si>
    <t>REQ-0050</t>
  </si>
  <si>
    <t>REQ-0051</t>
  </si>
  <si>
    <t>REQ-0052</t>
  </si>
  <si>
    <t>REQ-0053</t>
  </si>
  <si>
    <t>REQ-0054</t>
  </si>
  <si>
    <t>REQ-0055</t>
  </si>
  <si>
    <t>REQ-0056</t>
  </si>
  <si>
    <t>REQ-0057</t>
  </si>
  <si>
    <t>REQ-0058</t>
  </si>
  <si>
    <t>REQ-0059</t>
  </si>
  <si>
    <t>REQ-0060</t>
  </si>
  <si>
    <t>REQ-0061</t>
  </si>
  <si>
    <t>REQ-0062</t>
  </si>
  <si>
    <t>REQ-0063</t>
  </si>
  <si>
    <t>REQ-0064</t>
  </si>
  <si>
    <t>REQ-0065</t>
  </si>
  <si>
    <t>REQ-0066</t>
  </si>
  <si>
    <t>REQ-0067</t>
  </si>
  <si>
    <t>REQ-0068</t>
  </si>
  <si>
    <t>REQ-0069</t>
  </si>
  <si>
    <t>REQ-0070</t>
  </si>
  <si>
    <t>REQ-0071</t>
  </si>
  <si>
    <t>REQ-0072</t>
  </si>
  <si>
    <t>REQ-0073</t>
  </si>
  <si>
    <t>REQ-0074</t>
  </si>
  <si>
    <t>REQ-0075</t>
  </si>
  <si>
    <t>REQ-0076</t>
  </si>
  <si>
    <t>REQ-0077</t>
  </si>
  <si>
    <t>REQ-0078</t>
  </si>
  <si>
    <t>REQ-0079</t>
  </si>
  <si>
    <t>REQ-0080</t>
  </si>
  <si>
    <t>REQ-0081</t>
  </si>
  <si>
    <t>REQ-0082</t>
  </si>
  <si>
    <t>REQ-0083</t>
  </si>
  <si>
    <t>REQ-0084</t>
  </si>
  <si>
    <t>REQ-0085</t>
  </si>
  <si>
    <t>REQ-0086</t>
  </si>
  <si>
    <t>REQ-0087</t>
  </si>
  <si>
    <t>REQ-0088</t>
  </si>
  <si>
    <t>REQ-0089</t>
  </si>
  <si>
    <t>REQ-0090</t>
  </si>
  <si>
    <t>REQ-0091</t>
  </si>
  <si>
    <t>REQ-0092</t>
  </si>
  <si>
    <t>REQ-0093</t>
  </si>
  <si>
    <t>REQ-0094</t>
  </si>
  <si>
    <t>REQ-0095</t>
  </si>
  <si>
    <t>REQ-0096</t>
  </si>
  <si>
    <t>REQ-0097</t>
  </si>
  <si>
    <t>REQ-0098</t>
  </si>
  <si>
    <t>REQ-0099</t>
  </si>
  <si>
    <t>REQ-0100</t>
  </si>
  <si>
    <t>REQ-0101</t>
  </si>
  <si>
    <t>REQ-0102</t>
  </si>
  <si>
    <t>REQ-0103</t>
  </si>
  <si>
    <t>REQ-0104</t>
  </si>
  <si>
    <t>REQ-0105</t>
  </si>
  <si>
    <t>REQ-0106</t>
  </si>
  <si>
    <t>REQ-0107</t>
  </si>
  <si>
    <t>REQ-0108</t>
  </si>
  <si>
    <t>REQ-0109</t>
  </si>
  <si>
    <t>REQ-0110</t>
  </si>
  <si>
    <t>REQ-0111</t>
  </si>
  <si>
    <t>REQ-0112</t>
  </si>
  <si>
    <t>REQ-0113</t>
  </si>
  <si>
    <t>REQ-0114</t>
  </si>
  <si>
    <t>REQ-0115</t>
  </si>
  <si>
    <t>REQ-0116</t>
  </si>
  <si>
    <t>REQ-0117</t>
  </si>
  <si>
    <t>REQ-0118</t>
  </si>
  <si>
    <t>REQ-0119</t>
  </si>
  <si>
    <t>REQ-0120</t>
  </si>
  <si>
    <t>ليش اعيد نفس الخطوات كل يوم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</si>
</sst>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m\-yyyy"/>
  </numFmts>
  <fonts count="21">
    <font>
      <sz val="11"/>
      <name val="Carlito"/>
    </font>
    <font>
      <sz val="10"/>
      <color rgb="FF25313B"/>
      <name val="Aptos"/>
    </font>
    <font>
      <b/>
      <sz val="21"/>
      <color rgb="FFFFFFFF"/>
      <name val="Aptos"/>
    </font>
    <font>
      <b/>
      <sz val="10"/>
      <color rgb="FFFF7900"/>
      <name val="Arial"/>
    </font>
    <font>
      <b/>
      <sz val="11"/>
      <color rgb="FF147EEA"/>
      <name val="Aptos"/>
    </font>
    <font>
      <b/>
      <sz val="11"/>
      <color rgb="FFFF7900"/>
      <name val="Aptos"/>
    </font>
    <font>
      <b/>
      <sz val="11"/>
      <color rgb="FF50BE87"/>
      <name val="Aptos"/>
    </font>
    <font>
      <b/>
      <sz val="11"/>
      <color rgb="FFFFFFFF"/>
      <name val="Aptos"/>
    </font>
    <font>
      <b/>
      <sz val="17"/>
      <color rgb="FFFFFFFF"/>
      <name val="Aptos"/>
    </font>
    <font>
      <b/>
      <sz val="10"/>
      <color rgb="FF147EEA"/>
      <name val="Aptos"/>
    </font>
    <font>
      <b/>
      <sz val="9"/>
      <color rgb="FFFFFFFF"/>
      <name val="Aptos"/>
    </font>
    <font>
      <sz val="9"/>
      <color rgb="FF25313B"/>
      <name val="Aptos"/>
    </font>
    <font>
      <b/>
      <sz val="10"/>
      <color rgb="FFFFFFFF"/>
      <name val="Aptos"/>
    </font>
    <font>
      <b/>
      <sz val="13"/>
      <color rgb="FFFF7900"/>
      <name val="Arial"/>
    </font>
    <font>
      <b/>
      <sz val="10"/>
      <color rgb="FF50BE87"/>
      <name val="Arial"/>
    </font>
    <font>
      <b/>
      <sz val="9"/>
      <color rgb="FF25313B"/>
      <name val="Arial"/>
    </font>
    <font>
      <b/>
      <sz val="13"/>
      <color rgb="FFFFFFFF"/>
      <name val="Aptos"/>
    </font>
    <font>
      <b/>
      <sz val="12"/>
      <color rgb="FF50BE87"/>
      <name val="Aptos"/>
    </font>
    <font>
      <b/>
      <sz val="10"/>
      <color rgb="FFFF7900"/>
      <name val="Aptos"/>
    </font>
    <font>
      <b/>
      <sz val="9"/>
      <color rgb="FF147EEA"/>
      <name val="Aptos"/>
    </font>
    <font>
      <b/>
      <sz val="16"/>
      <color rgb="FFFFFFFF"/>
      <name val="Aptos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74550"/>
      </patternFill>
    </fill>
    <fill>
      <patternFill patternType="solid">
        <fgColor rgb="FFFFF3E8"/>
      </patternFill>
    </fill>
    <fill>
      <patternFill patternType="solid">
        <fgColor rgb="FFEEF6FE"/>
      </patternFill>
    </fill>
    <fill>
      <patternFill patternType="solid">
        <fgColor rgb="FFEAF8F1"/>
      </patternFill>
    </fill>
    <fill>
      <patternFill patternType="solid">
        <fgColor rgb="FFFFF7CC"/>
      </patternFill>
    </fill>
    <fill>
      <patternFill patternType="solid">
        <fgColor rgb="FFFF7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vertical="center" wrapText="1"/>
    </xf>
    <xf numFmtId="0" fontId="12" fillId="3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5" fillId="4" borderId="0" xfId="0" applyFont="1" applyFill="1" applyAlignment="1">
      <alignment horizontal="right" vertical="center" wrapText="1"/>
    </xf>
    <xf numFmtId="4" fontId="11" fillId="7" borderId="0" xfId="0" applyNumberFormat="1" applyFont="1" applyFill="1" applyAlignment="1">
      <alignment vertical="center" wrapText="1"/>
    </xf>
    <xf numFmtId="164" fontId="11" fillId="6" borderId="0" xfId="0" applyNumberFormat="1" applyFont="1" applyFill="1" applyAlignment="1">
      <alignment vertical="center" wrapText="1"/>
    </xf>
    <xf numFmtId="0" fontId="11" fillId="6" borderId="0" xfId="0" applyFont="1" applyFill="1" applyAlignment="1">
      <alignment vertical="center" wrapText="1"/>
    </xf>
    <xf numFmtId="165" fontId="1" fillId="2" borderId="0" xfId="0" applyNumberFormat="1" applyFont="1" applyFill="1" applyAlignment="1">
      <alignment vertical="center"/>
    </xf>
    <xf numFmtId="4" fontId="1" fillId="2" borderId="0" xfId="0" applyNumberFormat="1" applyFont="1" applyFill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right" vertical="center" wrapText="1"/>
    </xf>
    <xf numFmtId="0" fontId="4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right" vertical="center" wrapText="1"/>
    </xf>
    <xf numFmtId="0" fontId="16" fillId="8" borderId="0" xfId="0" applyFont="1" applyFill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left" vertical="center" wrapText="1"/>
    </xf>
    <xf numFmtId="0" fontId="19" fillId="5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28750" cy="666750"/>
    <xdr:pic>
      <xdr:nvPicPr>
        <xdr:cNvPr id="2" name="0300f28c-7852-4483-aa8d-0a5a0544bbf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opLeftCell="A5" workbookViewId="0"/>
  </sheetViews>
  <sheetFormatPr defaultRowHeight="13.8"/>
  <cols>
    <col min="1" max="1" width="5" customWidth="1"/>
    <col min="2" max="10" width="16" customWidth="1"/>
    <col min="11" max="11" width="5" customWidth="1"/>
  </cols>
  <sheetData>
    <row r="1" spans="1:11" ht="16.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6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6.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6.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6.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6.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6.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6.8" customHeight="1">
      <c r="A9" s="1"/>
      <c r="B9" s="13" t="s">
        <v>0</v>
      </c>
      <c r="C9" s="13"/>
      <c r="D9" s="13"/>
      <c r="E9" s="13"/>
      <c r="F9" s="13"/>
      <c r="G9" s="13"/>
      <c r="H9" s="13"/>
      <c r="I9" s="13"/>
      <c r="J9" s="13"/>
      <c r="K9" s="1"/>
    </row>
    <row r="10" spans="1:11" ht="16.8" customHeight="1">
      <c r="A10" s="1"/>
      <c r="B10" s="13"/>
      <c r="C10" s="13"/>
      <c r="D10" s="13"/>
      <c r="E10" s="13"/>
      <c r="F10" s="13"/>
      <c r="G10" s="13"/>
      <c r="H10" s="13"/>
      <c r="I10" s="13"/>
      <c r="J10" s="13"/>
      <c r="K10" s="1"/>
    </row>
    <row r="11" spans="1:11" ht="16.8" customHeight="1">
      <c r="A11" s="1"/>
      <c r="B11" s="13"/>
      <c r="C11" s="13"/>
      <c r="D11" s="13"/>
      <c r="E11" s="13"/>
      <c r="F11" s="13"/>
      <c r="G11" s="13"/>
      <c r="H11" s="13"/>
      <c r="I11" s="13"/>
      <c r="J11" s="13"/>
      <c r="K11" s="1"/>
    </row>
    <row r="12" spans="1:11" ht="16.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6.8" customHeight="1">
      <c r="A13" s="1"/>
      <c r="B13" s="14" t="s">
        <v>1</v>
      </c>
      <c r="C13" s="14"/>
      <c r="D13" s="14"/>
      <c r="E13" s="14"/>
      <c r="F13" s="14"/>
      <c r="G13" s="14"/>
      <c r="H13" s="14"/>
      <c r="I13" s="14"/>
      <c r="J13" s="14"/>
      <c r="K13" s="1"/>
    </row>
    <row r="14" spans="1:11" ht="16.8" customHeight="1">
      <c r="A14" s="1"/>
      <c r="B14" s="14"/>
      <c r="C14" s="14"/>
      <c r="D14" s="14"/>
      <c r="E14" s="14"/>
      <c r="F14" s="14"/>
      <c r="G14" s="14"/>
      <c r="H14" s="14"/>
      <c r="I14" s="14"/>
      <c r="J14" s="14"/>
      <c r="K14" s="1"/>
    </row>
    <row r="15" spans="1:11" ht="16.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6.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6.8" customHeight="1">
      <c r="A17" s="1"/>
      <c r="B17" s="15" t="s">
        <v>2</v>
      </c>
      <c r="C17" s="15"/>
      <c r="D17" s="15"/>
      <c r="E17" s="15"/>
      <c r="F17" s="15"/>
      <c r="G17" s="15"/>
      <c r="H17" s="15"/>
      <c r="I17" s="15"/>
      <c r="J17" s="15"/>
      <c r="K17" s="1"/>
    </row>
    <row r="18" spans="1:11" ht="16.8" customHeight="1">
      <c r="A18" s="1"/>
      <c r="B18" s="15"/>
      <c r="C18" s="15"/>
      <c r="D18" s="15"/>
      <c r="E18" s="15"/>
      <c r="F18" s="15"/>
      <c r="G18" s="15"/>
      <c r="H18" s="15"/>
      <c r="I18" s="15"/>
      <c r="J18" s="15"/>
      <c r="K18" s="1"/>
    </row>
    <row r="19" spans="1:11" ht="16.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6.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6.8" customHeight="1">
      <c r="A21" s="1"/>
      <c r="B21" s="15" t="s">
        <v>3</v>
      </c>
      <c r="C21" s="15"/>
      <c r="D21" s="15"/>
      <c r="E21" s="16" t="s">
        <v>4</v>
      </c>
      <c r="F21" s="16"/>
      <c r="G21" s="16"/>
      <c r="H21" s="17" t="s">
        <v>5</v>
      </c>
      <c r="I21" s="17"/>
      <c r="J21" s="17"/>
      <c r="K21" s="1"/>
    </row>
    <row r="22" spans="1:11" ht="16.8" customHeight="1">
      <c r="A22" s="1"/>
      <c r="B22" s="15"/>
      <c r="C22" s="15"/>
      <c r="D22" s="15"/>
      <c r="E22" s="16"/>
      <c r="F22" s="16"/>
      <c r="G22" s="16"/>
      <c r="H22" s="17"/>
      <c r="I22" s="17"/>
      <c r="J22" s="17"/>
      <c r="K22" s="1"/>
    </row>
    <row r="23" spans="1:11" ht="16.8" customHeight="1">
      <c r="A23" s="1"/>
      <c r="B23" s="15"/>
      <c r="C23" s="15"/>
      <c r="D23" s="15"/>
      <c r="E23" s="16"/>
      <c r="F23" s="16"/>
      <c r="G23" s="16"/>
      <c r="H23" s="17"/>
      <c r="I23" s="17"/>
      <c r="J23" s="17"/>
      <c r="K23" s="1"/>
    </row>
    <row r="24" spans="1:11" ht="16.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6.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6.8" customHeight="1">
      <c r="A26" s="1"/>
      <c r="B26" s="18" t="s">
        <v>6</v>
      </c>
      <c r="C26" s="18"/>
      <c r="D26" s="18"/>
      <c r="E26" s="18"/>
      <c r="F26" s="18"/>
      <c r="G26" s="18"/>
      <c r="H26" s="18"/>
      <c r="I26" s="18"/>
      <c r="J26" s="18"/>
      <c r="K26" s="1"/>
    </row>
    <row r="27" spans="1:11" ht="16.8" customHeight="1">
      <c r="A27" s="1"/>
      <c r="B27" s="18"/>
      <c r="C27" s="18"/>
      <c r="D27" s="18"/>
      <c r="E27" s="18"/>
      <c r="F27" s="18"/>
      <c r="G27" s="18"/>
      <c r="H27" s="18"/>
      <c r="I27" s="18"/>
      <c r="J27" s="18"/>
      <c r="K27" s="1"/>
    </row>
    <row r="28" spans="1:11" ht="16.8" customHeight="1">
      <c r="A28" s="1"/>
      <c r="B28" s="18"/>
      <c r="C28" s="18"/>
      <c r="D28" s="18"/>
      <c r="E28" s="18"/>
      <c r="F28" s="18"/>
      <c r="G28" s="18"/>
      <c r="H28" s="18"/>
      <c r="I28" s="18"/>
      <c r="J28" s="18"/>
      <c r="K28" s="1"/>
    </row>
    <row r="29" spans="1:11" ht="16.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6.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mergeCells count="7">
    <mergeCell ref="B26:J28"/>
    <mergeCell ref="B9:J11"/>
    <mergeCell ref="B13:J14"/>
    <mergeCell ref="B17:J18"/>
    <mergeCell ref="B21:D23"/>
    <mergeCell ref="E21:G23"/>
    <mergeCell ref="H21:J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workbookViewId="0">
      <selection activeCell="F9" sqref="F9:J15"/>
    </sheetView>
  </sheetViews>
  <sheetFormatPr defaultRowHeight="13.8"/>
  <cols>
    <col min="1" max="1" width="8" customWidth="1"/>
    <col min="2" max="2" width="31" customWidth="1"/>
    <col min="3" max="3" width="33" customWidth="1"/>
    <col min="4" max="4" width="12" customWidth="1"/>
    <col min="5" max="5" width="4" customWidth="1"/>
    <col min="6" max="10" width="18" customWidth="1"/>
  </cols>
  <sheetData>
    <row r="1" spans="1:10" ht="16.8" customHeight="1">
      <c r="A1" s="19" t="s">
        <v>7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6.8" customHeight="1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 ht="16.8" customHeight="1">
      <c r="A3" s="14" t="s">
        <v>8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20" t="s">
        <v>9</v>
      </c>
      <c r="B5" s="20"/>
      <c r="C5" s="20"/>
      <c r="D5" s="20"/>
      <c r="E5" s="20"/>
      <c r="F5" s="20"/>
      <c r="G5" s="20"/>
      <c r="H5" s="20"/>
      <c r="I5" s="20"/>
      <c r="J5" s="20"/>
    </row>
    <row r="6" spans="1:10" ht="16.8" customHeight="1">
      <c r="A6" s="20"/>
      <c r="B6" s="20"/>
      <c r="C6" s="20"/>
      <c r="D6" s="20"/>
      <c r="E6" s="20"/>
      <c r="F6" s="20"/>
      <c r="G6" s="20"/>
      <c r="H6" s="20"/>
      <c r="I6" s="20"/>
      <c r="J6" s="20"/>
    </row>
    <row r="7" spans="1:10" ht="16.8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6.8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6.8" customHeight="1">
      <c r="A9" s="2" t="s">
        <v>10</v>
      </c>
      <c r="B9" s="2" t="s">
        <v>11</v>
      </c>
      <c r="C9" s="2" t="s">
        <v>12</v>
      </c>
      <c r="D9" s="2" t="s">
        <v>13</v>
      </c>
      <c r="E9" s="1"/>
      <c r="F9" s="21" t="s">
        <v>249</v>
      </c>
      <c r="G9" s="21"/>
      <c r="H9" s="21"/>
      <c r="I9" s="21"/>
      <c r="J9" s="21"/>
    </row>
    <row r="10" spans="1:10" ht="38.4" customHeight="1">
      <c r="A10" s="4">
        <v>1</v>
      </c>
      <c r="B10" s="5" t="s">
        <v>14</v>
      </c>
      <c r="C10" s="3" t="s">
        <v>15</v>
      </c>
      <c r="D10" s="6" t="s">
        <v>16</v>
      </c>
      <c r="E10" s="1"/>
      <c r="F10" s="21"/>
      <c r="G10" s="21"/>
      <c r="H10" s="21"/>
      <c r="I10" s="21"/>
      <c r="J10" s="21"/>
    </row>
    <row r="11" spans="1:10" ht="38.4" customHeight="1">
      <c r="A11" s="4">
        <v>2</v>
      </c>
      <c r="B11" s="5" t="s">
        <v>17</v>
      </c>
      <c r="C11" s="3" t="s">
        <v>18</v>
      </c>
      <c r="D11" s="6" t="s">
        <v>16</v>
      </c>
      <c r="E11" s="1"/>
      <c r="F11" s="21"/>
      <c r="G11" s="21"/>
      <c r="H11" s="21"/>
      <c r="I11" s="21"/>
      <c r="J11" s="21"/>
    </row>
    <row r="12" spans="1:10" ht="38.4" customHeight="1">
      <c r="A12" s="4">
        <v>3</v>
      </c>
      <c r="B12" s="5" t="s">
        <v>19</v>
      </c>
      <c r="C12" s="3" t="s">
        <v>20</v>
      </c>
      <c r="D12" s="6" t="s">
        <v>16</v>
      </c>
      <c r="E12" s="1"/>
      <c r="F12" s="21"/>
      <c r="G12" s="21"/>
      <c r="H12" s="21"/>
      <c r="I12" s="21"/>
      <c r="J12" s="21"/>
    </row>
    <row r="13" spans="1:10" ht="38.4" customHeight="1">
      <c r="A13" s="4">
        <v>4</v>
      </c>
      <c r="B13" s="5" t="s">
        <v>21</v>
      </c>
      <c r="C13" s="3" t="s">
        <v>22</v>
      </c>
      <c r="D13" s="6" t="s">
        <v>16</v>
      </c>
      <c r="E13" s="1"/>
      <c r="F13" s="21"/>
      <c r="G13" s="21"/>
      <c r="H13" s="21"/>
      <c r="I13" s="21"/>
      <c r="J13" s="21"/>
    </row>
    <row r="14" spans="1:10" ht="38.4" customHeight="1">
      <c r="A14" s="4">
        <v>5</v>
      </c>
      <c r="B14" s="5" t="s">
        <v>23</v>
      </c>
      <c r="C14" s="3" t="s">
        <v>24</v>
      </c>
      <c r="D14" s="6" t="s">
        <v>16</v>
      </c>
      <c r="E14" s="1"/>
      <c r="F14" s="21"/>
      <c r="G14" s="21"/>
      <c r="H14" s="21"/>
      <c r="I14" s="21"/>
      <c r="J14" s="21"/>
    </row>
    <row r="15" spans="1:10" ht="38.4" customHeight="1">
      <c r="A15" s="4">
        <v>6</v>
      </c>
      <c r="B15" s="5" t="s">
        <v>25</v>
      </c>
      <c r="C15" s="3" t="s">
        <v>26</v>
      </c>
      <c r="D15" s="6" t="s">
        <v>16</v>
      </c>
      <c r="E15" s="1"/>
      <c r="F15" s="21"/>
      <c r="G15" s="21"/>
      <c r="H15" s="21"/>
      <c r="I15" s="21"/>
      <c r="J15" s="21"/>
    </row>
    <row r="16" spans="1:10" ht="16.8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6.8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6.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6.8" customHeight="1">
      <c r="A19" s="18" t="s">
        <v>27</v>
      </c>
      <c r="B19" s="18"/>
      <c r="C19" s="18"/>
      <c r="D19" s="18"/>
      <c r="E19" s="18"/>
      <c r="F19" s="18"/>
      <c r="G19" s="18"/>
      <c r="H19" s="18"/>
      <c r="I19" s="18"/>
      <c r="J19" s="18"/>
    </row>
    <row r="20" spans="1:10" ht="16.8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16.8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6.8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6.8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6.8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6.8" customHeight="1">
      <c r="A25" s="22" t="s">
        <v>28</v>
      </c>
      <c r="B25" s="22"/>
      <c r="C25" s="22"/>
      <c r="D25" s="22"/>
      <c r="E25" s="22"/>
      <c r="F25" s="22"/>
      <c r="G25" s="22"/>
      <c r="H25" s="22"/>
      <c r="I25" s="22"/>
      <c r="J25" s="22"/>
    </row>
    <row r="26" spans="1:10" ht="16.8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spans="1:10" ht="16.8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spans="1:10" ht="16.8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</sheetData>
  <mergeCells count="6">
    <mergeCell ref="A25:J27"/>
    <mergeCell ref="A1:J2"/>
    <mergeCell ref="A3:J3"/>
    <mergeCell ref="A5:J6"/>
    <mergeCell ref="F9:J15"/>
    <mergeCell ref="A19:J21"/>
  </mergeCells>
  <dataValidations count="1">
    <dataValidation type="list" sqref="D10:D15" xr:uid="{00000000-0002-0000-0100-000000000000}">
      <formula1>"No,Done"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zoomScale="85" zoomScaleNormal="85" workbookViewId="0">
      <selection activeCell="C12" sqref="C12"/>
    </sheetView>
  </sheetViews>
  <sheetFormatPr defaultRowHeight="13.8"/>
  <cols>
    <col min="1" max="1" width="8" customWidth="1"/>
    <col min="2" max="2" width="39" customWidth="1"/>
    <col min="3" max="3" width="40" customWidth="1"/>
    <col min="4" max="4" width="12" customWidth="1"/>
    <col min="5" max="5" width="4" customWidth="1"/>
    <col min="6" max="10" width="18" customWidth="1"/>
  </cols>
  <sheetData>
    <row r="1" spans="1:10" ht="16.8" customHeight="1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6.8" customHeight="1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 ht="16.8" customHeight="1">
      <c r="A3" s="14" t="s">
        <v>30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20" t="s">
        <v>31</v>
      </c>
      <c r="B5" s="20"/>
      <c r="C5" s="20"/>
      <c r="D5" s="20"/>
      <c r="E5" s="20"/>
      <c r="F5" s="20"/>
      <c r="G5" s="20"/>
      <c r="H5" s="20"/>
      <c r="I5" s="20"/>
      <c r="J5" s="20"/>
    </row>
    <row r="6" spans="1:10" ht="16.8" customHeight="1">
      <c r="A6" s="20"/>
      <c r="B6" s="20"/>
      <c r="C6" s="20"/>
      <c r="D6" s="20"/>
      <c r="E6" s="20"/>
      <c r="F6" s="20"/>
      <c r="G6" s="20"/>
      <c r="H6" s="20"/>
      <c r="I6" s="20"/>
      <c r="J6" s="20"/>
    </row>
    <row r="7" spans="1:10" ht="16.8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6.8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6.8" customHeight="1">
      <c r="A9" s="2" t="s">
        <v>32</v>
      </c>
      <c r="B9" s="2" t="s">
        <v>33</v>
      </c>
      <c r="C9" s="2" t="s">
        <v>34</v>
      </c>
      <c r="D9" s="2" t="s">
        <v>13</v>
      </c>
      <c r="E9" s="1"/>
      <c r="F9" s="23" t="s">
        <v>35</v>
      </c>
      <c r="G9" s="23"/>
      <c r="H9" s="23"/>
      <c r="I9" s="23"/>
      <c r="J9" s="23"/>
    </row>
    <row r="10" spans="1:10" ht="43.2" customHeight="1">
      <c r="A10" s="4">
        <v>1</v>
      </c>
      <c r="B10" s="5" t="s">
        <v>36</v>
      </c>
      <c r="C10" s="7" t="s">
        <v>37</v>
      </c>
      <c r="D10" s="6" t="s">
        <v>16</v>
      </c>
      <c r="E10" s="1"/>
      <c r="F10" s="23"/>
      <c r="G10" s="23"/>
      <c r="H10" s="23"/>
      <c r="I10" s="23"/>
      <c r="J10" s="23"/>
    </row>
    <row r="11" spans="1:10" ht="43.2" customHeight="1">
      <c r="A11" s="4">
        <v>2</v>
      </c>
      <c r="B11" s="5" t="s">
        <v>38</v>
      </c>
      <c r="C11" s="7" t="s">
        <v>39</v>
      </c>
      <c r="D11" s="6" t="s">
        <v>16</v>
      </c>
      <c r="E11" s="1"/>
      <c r="F11" s="23"/>
      <c r="G11" s="23"/>
      <c r="H11" s="23"/>
      <c r="I11" s="23"/>
      <c r="J11" s="23"/>
    </row>
    <row r="12" spans="1:10" ht="43.2" customHeight="1">
      <c r="A12" s="4">
        <v>3</v>
      </c>
      <c r="B12" s="5" t="s">
        <v>40</v>
      </c>
      <c r="C12" s="7" t="s">
        <v>41</v>
      </c>
      <c r="D12" s="6" t="s">
        <v>16</v>
      </c>
      <c r="E12" s="1"/>
      <c r="F12" s="23"/>
      <c r="G12" s="23"/>
      <c r="H12" s="23"/>
      <c r="I12" s="23"/>
      <c r="J12" s="23"/>
    </row>
    <row r="13" spans="1:10" ht="43.2" customHeight="1">
      <c r="A13" s="4">
        <v>4</v>
      </c>
      <c r="B13" s="5" t="s">
        <v>42</v>
      </c>
      <c r="C13" s="7" t="s">
        <v>43</v>
      </c>
      <c r="D13" s="6" t="s">
        <v>16</v>
      </c>
      <c r="E13" s="1"/>
      <c r="F13" s="23"/>
      <c r="G13" s="23"/>
      <c r="H13" s="23"/>
      <c r="I13" s="23"/>
      <c r="J13" s="23"/>
    </row>
    <row r="14" spans="1:10" ht="43.2" customHeight="1">
      <c r="A14" s="4">
        <v>5</v>
      </c>
      <c r="B14" s="5" t="s">
        <v>44</v>
      </c>
      <c r="C14" s="7" t="s">
        <v>45</v>
      </c>
      <c r="D14" s="6" t="s">
        <v>16</v>
      </c>
      <c r="E14" s="1"/>
      <c r="F14" s="1"/>
      <c r="G14" s="1"/>
      <c r="H14" s="1"/>
      <c r="I14" s="1"/>
      <c r="J14" s="1"/>
    </row>
    <row r="15" spans="1:10" ht="43.2" customHeight="1">
      <c r="A15" s="4">
        <v>6</v>
      </c>
      <c r="B15" s="5" t="s">
        <v>46</v>
      </c>
      <c r="C15" s="7" t="s">
        <v>47</v>
      </c>
      <c r="D15" s="6" t="s">
        <v>16</v>
      </c>
      <c r="E15" s="1"/>
      <c r="F15" s="24" t="s">
        <v>48</v>
      </c>
      <c r="G15" s="24"/>
      <c r="H15" s="24"/>
      <c r="I15" s="24"/>
      <c r="J15" s="24"/>
    </row>
    <row r="16" spans="1:10" ht="43.2" customHeight="1">
      <c r="A16" s="4">
        <v>7</v>
      </c>
      <c r="B16" s="5" t="s">
        <v>49</v>
      </c>
      <c r="C16" s="7" t="s">
        <v>50</v>
      </c>
      <c r="D16" s="6" t="s">
        <v>16</v>
      </c>
      <c r="E16" s="1"/>
      <c r="F16" s="24"/>
      <c r="G16" s="24"/>
      <c r="H16" s="24"/>
      <c r="I16" s="24"/>
      <c r="J16" s="24"/>
    </row>
    <row r="17" spans="1:10" ht="16.8" customHeight="1">
      <c r="A17" s="1"/>
      <c r="B17" s="1"/>
      <c r="C17" s="1"/>
      <c r="D17" s="1"/>
      <c r="E17" s="1"/>
      <c r="F17" s="24"/>
      <c r="G17" s="24"/>
      <c r="H17" s="24"/>
      <c r="I17" s="24"/>
      <c r="J17" s="24"/>
    </row>
    <row r="18" spans="1:10" ht="16.8" customHeight="1">
      <c r="A18" s="1"/>
      <c r="B18" s="1"/>
      <c r="C18" s="1"/>
      <c r="D18" s="1"/>
      <c r="E18" s="1"/>
      <c r="F18" s="24"/>
      <c r="G18" s="24"/>
      <c r="H18" s="24"/>
      <c r="I18" s="24"/>
      <c r="J18" s="24"/>
    </row>
    <row r="19" spans="1:10" ht="16.8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6.8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6.8" customHeight="1">
      <c r="A21" s="18" t="s">
        <v>51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6.8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6.8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6.8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6.8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6.8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6.8" customHeight="1">
      <c r="A27" s="20" t="s">
        <v>52</v>
      </c>
      <c r="B27" s="20"/>
      <c r="C27" s="20"/>
      <c r="D27" s="20"/>
      <c r="E27" s="20"/>
      <c r="F27" s="20"/>
      <c r="G27" s="20"/>
      <c r="H27" s="20"/>
      <c r="I27" s="20"/>
      <c r="J27" s="20"/>
    </row>
    <row r="28" spans="1:10" ht="16.8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</row>
    <row r="29" spans="1:10" ht="16.8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</row>
    <row r="30" spans="1:10" ht="16.8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mergeCells count="7">
    <mergeCell ref="A21:J23"/>
    <mergeCell ref="A27:J29"/>
    <mergeCell ref="A1:J2"/>
    <mergeCell ref="A3:J3"/>
    <mergeCell ref="A5:J6"/>
    <mergeCell ref="F9:J13"/>
    <mergeCell ref="F15:J18"/>
  </mergeCells>
  <dataValidations count="1">
    <dataValidation type="list" sqref="D10:D16" xr:uid="{00000000-0002-0000-0200-000000000000}">
      <formula1>"No,Done"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"/>
  <sheetViews>
    <sheetView workbookViewId="0">
      <selection sqref="A1:J2"/>
    </sheetView>
  </sheetViews>
  <sheetFormatPr defaultRowHeight="13.8"/>
  <cols>
    <col min="1" max="1" width="12" customWidth="1"/>
    <col min="2" max="2" width="46" customWidth="1"/>
    <col min="3" max="3" width="26" customWidth="1"/>
    <col min="4" max="4" width="12" customWidth="1"/>
    <col min="5" max="5" width="4" customWidth="1"/>
    <col min="6" max="10" width="18" customWidth="1"/>
  </cols>
  <sheetData>
    <row r="1" spans="1:10" ht="16.8" customHeight="1">
      <c r="A1" s="19" t="s">
        <v>53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6.8" customHeight="1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 ht="16.8" customHeight="1">
      <c r="A3" s="14" t="s">
        <v>54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20" t="s">
        <v>55</v>
      </c>
      <c r="B5" s="20"/>
      <c r="C5" s="20"/>
      <c r="D5" s="20"/>
      <c r="E5" s="20"/>
      <c r="F5" s="20"/>
      <c r="G5" s="20"/>
      <c r="H5" s="20"/>
      <c r="I5" s="20"/>
      <c r="J5" s="20"/>
    </row>
    <row r="6" spans="1:10" ht="16.8" customHeight="1">
      <c r="A6" s="20"/>
      <c r="B6" s="20"/>
      <c r="C6" s="20"/>
      <c r="D6" s="20"/>
      <c r="E6" s="20"/>
      <c r="F6" s="20"/>
      <c r="G6" s="20"/>
      <c r="H6" s="20"/>
      <c r="I6" s="20"/>
      <c r="J6" s="20"/>
    </row>
    <row r="7" spans="1:10" ht="16.8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6.8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6.8" customHeight="1">
      <c r="A9" s="2" t="s">
        <v>56</v>
      </c>
      <c r="B9" s="2" t="s">
        <v>57</v>
      </c>
      <c r="C9" s="2" t="s">
        <v>58</v>
      </c>
      <c r="D9" s="2" t="s">
        <v>13</v>
      </c>
      <c r="E9" s="1"/>
      <c r="F9" s="16" t="s">
        <v>59</v>
      </c>
      <c r="G9" s="16"/>
      <c r="H9" s="16"/>
      <c r="I9" s="16"/>
      <c r="J9" s="16"/>
    </row>
    <row r="10" spans="1:10" ht="38.4" customHeight="1">
      <c r="A10" s="4" t="s">
        <v>60</v>
      </c>
      <c r="B10" s="5" t="s">
        <v>61</v>
      </c>
      <c r="C10" s="3" t="s">
        <v>62</v>
      </c>
      <c r="D10" s="6" t="s">
        <v>16</v>
      </c>
      <c r="E10" s="1"/>
      <c r="F10" s="16"/>
      <c r="G10" s="16"/>
      <c r="H10" s="16"/>
      <c r="I10" s="16"/>
      <c r="J10" s="16"/>
    </row>
    <row r="11" spans="1:10" ht="38.4" customHeight="1">
      <c r="A11" s="4" t="s">
        <v>63</v>
      </c>
      <c r="B11" s="5" t="s">
        <v>64</v>
      </c>
      <c r="C11" s="3" t="s">
        <v>65</v>
      </c>
      <c r="D11" s="6" t="s">
        <v>16</v>
      </c>
      <c r="E11" s="1"/>
      <c r="F11" s="16"/>
      <c r="G11" s="16"/>
      <c r="H11" s="16"/>
      <c r="I11" s="16"/>
      <c r="J11" s="16"/>
    </row>
    <row r="12" spans="1:10" ht="38.4" customHeight="1">
      <c r="A12" s="4" t="s">
        <v>66</v>
      </c>
      <c r="B12" s="5" t="s">
        <v>67</v>
      </c>
      <c r="C12" s="3" t="s">
        <v>68</v>
      </c>
      <c r="D12" s="6" t="s">
        <v>16</v>
      </c>
      <c r="E12" s="1"/>
      <c r="F12" s="16"/>
      <c r="G12" s="16"/>
      <c r="H12" s="16"/>
      <c r="I12" s="16"/>
      <c r="J12" s="16"/>
    </row>
    <row r="13" spans="1:10" ht="16.8" customHeight="1">
      <c r="A13" s="1"/>
      <c r="B13" s="1"/>
      <c r="C13" s="1"/>
      <c r="D13" s="1"/>
      <c r="E13" s="1"/>
      <c r="F13" s="16"/>
      <c r="G13" s="16"/>
      <c r="H13" s="16"/>
      <c r="I13" s="16"/>
      <c r="J13" s="16"/>
    </row>
    <row r="14" spans="1:10" ht="16.8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6.8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6.8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6.8" customHeight="1">
      <c r="A17" s="25" t="s">
        <v>69</v>
      </c>
      <c r="B17" s="25"/>
      <c r="C17" s="25"/>
      <c r="D17" s="25"/>
      <c r="E17" s="25"/>
      <c r="F17" s="25"/>
      <c r="G17" s="25"/>
      <c r="H17" s="25"/>
      <c r="I17" s="25"/>
      <c r="J17" s="25"/>
    </row>
    <row r="18" spans="1:10" ht="16.8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</row>
    <row r="19" spans="1:10" ht="16.8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</row>
    <row r="20" spans="1:10" ht="16.8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6.8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6.8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6.8" customHeight="1">
      <c r="A23" s="22" t="s">
        <v>70</v>
      </c>
      <c r="B23" s="22"/>
      <c r="C23" s="22"/>
      <c r="D23" s="22"/>
      <c r="E23" s="22"/>
      <c r="F23" s="22"/>
      <c r="G23" s="22"/>
      <c r="H23" s="22"/>
      <c r="I23" s="22"/>
      <c r="J23" s="22"/>
    </row>
    <row r="24" spans="1:10" ht="16.8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spans="1:10" ht="16.8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spans="1:10" ht="16.8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6.8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</sheetData>
  <mergeCells count="6">
    <mergeCell ref="A23:J25"/>
    <mergeCell ref="A1:J2"/>
    <mergeCell ref="A3:J3"/>
    <mergeCell ref="A5:J6"/>
    <mergeCell ref="F9:J13"/>
    <mergeCell ref="A17:J19"/>
  </mergeCells>
  <dataValidations count="1">
    <dataValidation type="list" sqref="D10:D12" xr:uid="{00000000-0002-0000-0300-000000000000}">
      <formula1>"No,Done"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workbookViewId="0">
      <selection sqref="A1:J2"/>
    </sheetView>
  </sheetViews>
  <sheetFormatPr defaultRowHeight="13.8"/>
  <cols>
    <col min="1" max="1" width="23" customWidth="1"/>
    <col min="2" max="3" width="20" customWidth="1"/>
    <col min="4" max="4" width="28" customWidth="1"/>
    <col min="5" max="5" width="4" customWidth="1"/>
    <col min="6" max="10" width="18" customWidth="1"/>
  </cols>
  <sheetData>
    <row r="1" spans="1:10" ht="16.8" customHeight="1">
      <c r="A1" s="19" t="s">
        <v>71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6.8" customHeight="1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 ht="16.8" customHeight="1">
      <c r="A3" s="14" t="s">
        <v>72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20" t="s">
        <v>73</v>
      </c>
      <c r="B5" s="20"/>
      <c r="C5" s="20"/>
      <c r="D5" s="20"/>
      <c r="E5" s="20"/>
      <c r="F5" s="20"/>
      <c r="G5" s="20"/>
      <c r="H5" s="20"/>
      <c r="I5" s="20"/>
      <c r="J5" s="20"/>
    </row>
    <row r="6" spans="1:10" ht="16.8" customHeight="1">
      <c r="A6" s="20"/>
      <c r="B6" s="20"/>
      <c r="C6" s="20"/>
      <c r="D6" s="20"/>
      <c r="E6" s="20"/>
      <c r="F6" s="20"/>
      <c r="G6" s="20"/>
      <c r="H6" s="20"/>
      <c r="I6" s="20"/>
      <c r="J6" s="20"/>
    </row>
    <row r="7" spans="1:10" ht="16.8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6.8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6.8" customHeight="1">
      <c r="A9" s="2" t="s">
        <v>74</v>
      </c>
      <c r="B9" s="2" t="s">
        <v>75</v>
      </c>
      <c r="C9" s="2" t="s">
        <v>76</v>
      </c>
      <c r="D9" s="2" t="s">
        <v>77</v>
      </c>
      <c r="E9" s="1"/>
      <c r="F9" s="26" t="s">
        <v>78</v>
      </c>
      <c r="G9" s="26"/>
      <c r="H9" s="26"/>
      <c r="I9" s="26"/>
      <c r="J9" s="26"/>
    </row>
    <row r="10" spans="1:10" ht="35.25" customHeight="1">
      <c r="A10" s="3" t="s">
        <v>79</v>
      </c>
      <c r="B10" s="6" t="s">
        <v>80</v>
      </c>
      <c r="C10" s="3" t="s">
        <v>81</v>
      </c>
      <c r="D10" s="3" t="s">
        <v>82</v>
      </c>
      <c r="E10" s="1"/>
      <c r="F10" s="26"/>
      <c r="G10" s="26"/>
      <c r="H10" s="26"/>
      <c r="I10" s="26"/>
      <c r="J10" s="26"/>
    </row>
    <row r="11" spans="1:10" ht="35.25" customHeight="1">
      <c r="A11" s="3" t="s">
        <v>83</v>
      </c>
      <c r="B11" s="8">
        <v>15000</v>
      </c>
      <c r="C11" s="3" t="s">
        <v>81</v>
      </c>
      <c r="D11" s="3" t="s">
        <v>84</v>
      </c>
      <c r="E11" s="1"/>
      <c r="F11" s="26"/>
      <c r="G11" s="26"/>
      <c r="H11" s="26"/>
      <c r="I11" s="26"/>
      <c r="J11" s="26"/>
    </row>
    <row r="12" spans="1:10" ht="35.25" customHeight="1">
      <c r="A12" s="3" t="s">
        <v>85</v>
      </c>
      <c r="B12" s="8">
        <v>14250</v>
      </c>
      <c r="C12" s="3" t="s">
        <v>81</v>
      </c>
      <c r="D12" s="3" t="s">
        <v>84</v>
      </c>
      <c r="E12" s="1"/>
      <c r="F12" s="26"/>
      <c r="G12" s="26"/>
      <c r="H12" s="26"/>
      <c r="I12" s="26"/>
      <c r="J12" s="26"/>
    </row>
    <row r="13" spans="1:10" ht="35.25" customHeight="1">
      <c r="A13" s="3" t="s">
        <v>86</v>
      </c>
      <c r="B13" s="9">
        <f>IFERROR(B12/B11,0)</f>
        <v>0.95</v>
      </c>
      <c r="C13" s="3" t="s">
        <v>16</v>
      </c>
      <c r="D13" s="3" t="s">
        <v>87</v>
      </c>
      <c r="E13" s="1"/>
      <c r="F13" s="26"/>
      <c r="G13" s="26"/>
      <c r="H13" s="26"/>
      <c r="I13" s="26"/>
      <c r="J13" s="26"/>
    </row>
    <row r="14" spans="1:10" ht="35.25" customHeight="1">
      <c r="A14" s="3" t="s">
        <v>88</v>
      </c>
      <c r="B14" s="10" t="str">
        <f>IF(B12&lt;=B11,"WITHIN BUDGET","OVER BUDGET")</f>
        <v>WITHIN BUDGET</v>
      </c>
      <c r="C14" s="3" t="s">
        <v>16</v>
      </c>
      <c r="D14" s="3" t="s">
        <v>87</v>
      </c>
      <c r="E14" s="1"/>
      <c r="F14" s="26"/>
      <c r="G14" s="26"/>
      <c r="H14" s="26"/>
      <c r="I14" s="26"/>
      <c r="J14" s="26"/>
    </row>
    <row r="15" spans="1:10" ht="16.8" customHeight="1">
      <c r="A15" s="1"/>
      <c r="B15" s="1"/>
      <c r="C15" s="1"/>
      <c r="D15" s="1"/>
      <c r="E15" s="1"/>
      <c r="F15" s="26"/>
      <c r="G15" s="26"/>
      <c r="H15" s="26"/>
      <c r="I15" s="26"/>
      <c r="J15" s="26"/>
    </row>
    <row r="16" spans="1:10" ht="16.8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6.8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6.8" customHeight="1">
      <c r="A18" s="25" t="s">
        <v>89</v>
      </c>
      <c r="B18" s="25"/>
      <c r="C18" s="25"/>
      <c r="D18" s="25"/>
      <c r="E18" s="25"/>
      <c r="F18" s="25"/>
      <c r="G18" s="25"/>
      <c r="H18" s="25"/>
      <c r="I18" s="25"/>
      <c r="J18" s="25"/>
    </row>
    <row r="19" spans="1:10" ht="16.8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</row>
    <row r="20" spans="1:10" ht="16.8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</row>
    <row r="21" spans="1:10" ht="16.8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6.8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6.8" customHeight="1">
      <c r="A23" s="17" t="s">
        <v>90</v>
      </c>
      <c r="B23" s="17"/>
      <c r="C23" s="17"/>
      <c r="D23" s="17"/>
      <c r="E23" s="17"/>
      <c r="F23" s="17"/>
      <c r="G23" s="17"/>
      <c r="H23" s="17"/>
      <c r="I23" s="17"/>
      <c r="J23" s="17"/>
    </row>
    <row r="24" spans="1:10" ht="16.8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</row>
    <row r="25" spans="1:10" ht="16.8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</row>
    <row r="26" spans="1:10" ht="16.8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6.8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6.8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6.8" customHeight="1">
      <c r="A29" s="27" t="s">
        <v>91</v>
      </c>
      <c r="B29" s="27"/>
      <c r="C29" s="27"/>
      <c r="D29" s="27"/>
      <c r="E29" s="27"/>
      <c r="F29" s="27"/>
      <c r="G29" s="27"/>
      <c r="H29" s="27"/>
      <c r="I29" s="27"/>
      <c r="J29" s="27"/>
    </row>
    <row r="30" spans="1:10" ht="16.8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</row>
    <row r="31" spans="1:10" ht="16.8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</row>
    <row r="32" spans="1:10" ht="16.8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7">
    <mergeCell ref="A23:J25"/>
    <mergeCell ref="A29:J31"/>
    <mergeCell ref="A1:J2"/>
    <mergeCell ref="A3:J3"/>
    <mergeCell ref="A5:J6"/>
    <mergeCell ref="F9:J15"/>
    <mergeCell ref="A18:J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2"/>
  <sheetViews>
    <sheetView tabSelected="1" topLeftCell="A8" workbookViewId="0">
      <selection activeCell="D10" sqref="D10"/>
    </sheetView>
  </sheetViews>
  <sheetFormatPr defaultRowHeight="13.8"/>
  <cols>
    <col min="1" max="2" width="14" customWidth="1"/>
    <col min="3" max="3" width="18" customWidth="1"/>
    <col min="4" max="4" width="14" customWidth="1"/>
    <col min="5" max="5" width="20" customWidth="1"/>
    <col min="6" max="8" width="18" customWidth="1"/>
    <col min="9" max="9" width="14" customWidth="1"/>
  </cols>
  <sheetData>
    <row r="1" spans="1:9" ht="16.8" customHeight="1">
      <c r="A1" s="28" t="s">
        <v>92</v>
      </c>
      <c r="B1" s="28"/>
      <c r="C1" s="28"/>
      <c r="D1" s="28"/>
      <c r="E1" s="28"/>
      <c r="F1" s="28"/>
      <c r="G1" s="28"/>
      <c r="H1" s="28"/>
      <c r="I1" s="28"/>
    </row>
    <row r="2" spans="1:9" ht="16.8" customHeight="1">
      <c r="A2" s="28"/>
      <c r="B2" s="28"/>
      <c r="C2" s="28"/>
      <c r="D2" s="28"/>
      <c r="E2" s="28"/>
      <c r="F2" s="28"/>
      <c r="G2" s="28"/>
      <c r="H2" s="28"/>
      <c r="I2" s="28"/>
    </row>
    <row r="3" spans="1:9" ht="16.8" customHeight="1">
      <c r="A3" s="14" t="s">
        <v>93</v>
      </c>
      <c r="B3" s="14"/>
      <c r="C3" s="14"/>
      <c r="D3" s="14"/>
      <c r="E3" s="14"/>
      <c r="F3" s="14"/>
      <c r="G3" s="14"/>
      <c r="H3" s="14"/>
      <c r="I3" s="14"/>
    </row>
    <row r="4" spans="1:9" ht="16.8" customHeight="1">
      <c r="A4" s="1"/>
      <c r="B4" s="1"/>
      <c r="C4" s="1"/>
      <c r="D4" s="1"/>
      <c r="E4" s="1"/>
      <c r="F4" s="1"/>
      <c r="G4" s="1"/>
      <c r="H4" s="1"/>
      <c r="I4" s="1"/>
    </row>
    <row r="5" spans="1:9" ht="16.8" customHeight="1">
      <c r="A5" s="27" t="s">
        <v>94</v>
      </c>
      <c r="B5" s="27"/>
      <c r="C5" s="27"/>
      <c r="D5" s="27"/>
      <c r="E5" s="27"/>
      <c r="F5" s="27"/>
      <c r="G5" s="27"/>
      <c r="H5" s="27"/>
      <c r="I5" s="27"/>
    </row>
    <row r="6" spans="1:9" ht="16.8" customHeight="1">
      <c r="A6" s="27"/>
      <c r="B6" s="27"/>
      <c r="C6" s="27"/>
      <c r="D6" s="27"/>
      <c r="E6" s="27"/>
      <c r="F6" s="27"/>
      <c r="G6" s="27"/>
      <c r="H6" s="27"/>
      <c r="I6" s="27"/>
    </row>
    <row r="7" spans="1:9" ht="16.8" customHeight="1">
      <c r="A7" s="1"/>
      <c r="B7" s="1"/>
      <c r="C7" s="1"/>
      <c r="D7" s="1"/>
      <c r="E7" s="1"/>
      <c r="F7" s="1"/>
      <c r="G7" s="1"/>
      <c r="H7" s="1"/>
      <c r="I7" s="1"/>
    </row>
    <row r="8" spans="1:9" ht="16.8" customHeight="1">
      <c r="A8" s="2" t="s">
        <v>95</v>
      </c>
      <c r="B8" s="2" t="s">
        <v>96</v>
      </c>
      <c r="C8" s="2" t="s">
        <v>97</v>
      </c>
      <c r="D8" s="2" t="s">
        <v>79</v>
      </c>
      <c r="E8" s="2" t="s">
        <v>98</v>
      </c>
      <c r="F8" s="2" t="s">
        <v>99</v>
      </c>
      <c r="G8" s="2" t="s">
        <v>100</v>
      </c>
      <c r="H8" s="2" t="s">
        <v>101</v>
      </c>
      <c r="I8" s="2" t="s">
        <v>102</v>
      </c>
    </row>
    <row r="9" spans="1:9" ht="16.8" customHeight="1">
      <c r="A9" s="1" t="s">
        <v>103</v>
      </c>
      <c r="B9" s="11">
        <v>46237</v>
      </c>
      <c r="C9" s="1" t="s">
        <v>104</v>
      </c>
      <c r="D9" s="1" t="s">
        <v>80</v>
      </c>
      <c r="E9" s="1" t="s">
        <v>105</v>
      </c>
      <c r="F9" s="1" t="s">
        <v>106</v>
      </c>
      <c r="G9" s="12">
        <v>4200</v>
      </c>
      <c r="H9" s="12">
        <v>3500</v>
      </c>
      <c r="I9" s="12">
        <v>-700</v>
      </c>
    </row>
    <row r="10" spans="1:9" ht="16.8" customHeight="1">
      <c r="A10" s="1" t="s">
        <v>107</v>
      </c>
      <c r="B10" s="11">
        <v>46239</v>
      </c>
      <c r="C10" s="1" t="s">
        <v>108</v>
      </c>
      <c r="D10" s="1" t="s">
        <v>109</v>
      </c>
      <c r="E10" s="1" t="s">
        <v>110</v>
      </c>
      <c r="F10" s="1" t="s">
        <v>106</v>
      </c>
      <c r="G10" s="12">
        <v>3100</v>
      </c>
      <c r="H10" s="12">
        <v>5000</v>
      </c>
      <c r="I10" s="12">
        <v>1900</v>
      </c>
    </row>
    <row r="11" spans="1:9" ht="16.8" customHeight="1">
      <c r="A11" s="1" t="s">
        <v>111</v>
      </c>
      <c r="B11" s="11">
        <v>46240</v>
      </c>
      <c r="C11" s="1" t="s">
        <v>112</v>
      </c>
      <c r="D11" s="1" t="s">
        <v>113</v>
      </c>
      <c r="E11" s="1" t="s">
        <v>114</v>
      </c>
      <c r="F11" s="1" t="s">
        <v>106</v>
      </c>
      <c r="G11" s="12">
        <v>5700</v>
      </c>
      <c r="H11" s="12">
        <v>4800</v>
      </c>
      <c r="I11" s="12">
        <v>-900</v>
      </c>
    </row>
    <row r="12" spans="1:9" ht="16.8" customHeight="1">
      <c r="A12" s="1" t="s">
        <v>115</v>
      </c>
      <c r="B12" s="11">
        <v>46261</v>
      </c>
      <c r="C12" s="1" t="s">
        <v>108</v>
      </c>
      <c r="D12" s="1" t="s">
        <v>109</v>
      </c>
      <c r="E12" s="1" t="s">
        <v>116</v>
      </c>
      <c r="F12" s="1" t="s">
        <v>106</v>
      </c>
      <c r="G12" s="12">
        <v>4825.1099999999997</v>
      </c>
      <c r="H12" s="12">
        <v>5159.7700000000004</v>
      </c>
      <c r="I12" s="12">
        <v>334.66</v>
      </c>
    </row>
    <row r="13" spans="1:9" ht="16.8" customHeight="1">
      <c r="A13" s="1" t="s">
        <v>117</v>
      </c>
      <c r="B13" s="11">
        <v>46054</v>
      </c>
      <c r="C13" s="1" t="s">
        <v>118</v>
      </c>
      <c r="D13" s="1" t="s">
        <v>80</v>
      </c>
      <c r="E13" s="1" t="s">
        <v>114</v>
      </c>
      <c r="F13" s="1" t="s">
        <v>106</v>
      </c>
      <c r="G13" s="12">
        <v>3608.29</v>
      </c>
      <c r="H13" s="12">
        <v>2076</v>
      </c>
      <c r="I13" s="12">
        <v>-1532.29</v>
      </c>
    </row>
    <row r="14" spans="1:9" ht="16.8" customHeight="1">
      <c r="A14" s="1" t="s">
        <v>119</v>
      </c>
      <c r="B14" s="11">
        <v>46036</v>
      </c>
      <c r="C14" s="1" t="s">
        <v>120</v>
      </c>
      <c r="D14" s="1" t="s">
        <v>121</v>
      </c>
      <c r="E14" s="1" t="s">
        <v>122</v>
      </c>
      <c r="F14" s="1" t="s">
        <v>123</v>
      </c>
      <c r="G14" s="12">
        <v>2967.45</v>
      </c>
      <c r="H14" s="12">
        <v>2619.73</v>
      </c>
      <c r="I14" s="12">
        <v>-347.72</v>
      </c>
    </row>
    <row r="15" spans="1:9" ht="16.8" customHeight="1">
      <c r="A15" s="1" t="s">
        <v>124</v>
      </c>
      <c r="B15" s="11">
        <v>46039</v>
      </c>
      <c r="C15" s="1" t="s">
        <v>108</v>
      </c>
      <c r="D15" s="1" t="s">
        <v>121</v>
      </c>
      <c r="E15" s="1" t="s">
        <v>116</v>
      </c>
      <c r="F15" s="1" t="s">
        <v>125</v>
      </c>
      <c r="G15" s="12">
        <v>5105.12</v>
      </c>
      <c r="H15" s="12">
        <v>6252.23</v>
      </c>
      <c r="I15" s="12">
        <v>1147.1099999999999</v>
      </c>
    </row>
    <row r="16" spans="1:9" ht="16.8" customHeight="1">
      <c r="A16" s="1" t="s">
        <v>126</v>
      </c>
      <c r="B16" s="11">
        <v>46213</v>
      </c>
      <c r="C16" s="1" t="s">
        <v>118</v>
      </c>
      <c r="D16" s="1" t="s">
        <v>80</v>
      </c>
      <c r="E16" s="1" t="s">
        <v>105</v>
      </c>
      <c r="F16" s="1" t="s">
        <v>106</v>
      </c>
      <c r="G16" s="12">
        <v>1947.28</v>
      </c>
      <c r="H16" s="12">
        <v>6627.1</v>
      </c>
      <c r="I16" s="12">
        <v>4679.82</v>
      </c>
    </row>
    <row r="17" spans="1:9" ht="16.8" customHeight="1">
      <c r="A17" s="1" t="s">
        <v>127</v>
      </c>
      <c r="B17" s="11">
        <v>46156</v>
      </c>
      <c r="C17" s="1" t="s">
        <v>112</v>
      </c>
      <c r="D17" s="1" t="s">
        <v>128</v>
      </c>
      <c r="E17" s="1" t="s">
        <v>129</v>
      </c>
      <c r="F17" s="1" t="s">
        <v>106</v>
      </c>
      <c r="G17" s="12">
        <v>3296.73</v>
      </c>
      <c r="H17" s="12">
        <v>3907.06</v>
      </c>
      <c r="I17" s="12">
        <v>610.33000000000004</v>
      </c>
    </row>
    <row r="18" spans="1:9" ht="16.8" customHeight="1">
      <c r="A18" s="1" t="s">
        <v>130</v>
      </c>
      <c r="B18" s="11">
        <v>46175</v>
      </c>
      <c r="C18" s="1" t="s">
        <v>131</v>
      </c>
      <c r="D18" s="1" t="s">
        <v>132</v>
      </c>
      <c r="E18" s="1" t="s">
        <v>116</v>
      </c>
      <c r="F18" s="1" t="s">
        <v>106</v>
      </c>
      <c r="G18" s="12">
        <v>841.07</v>
      </c>
      <c r="H18" s="12">
        <v>1614.02</v>
      </c>
      <c r="I18" s="12">
        <v>772.95</v>
      </c>
    </row>
    <row r="19" spans="1:9" ht="16.8" customHeight="1">
      <c r="A19" s="1" t="s">
        <v>133</v>
      </c>
      <c r="B19" s="11">
        <v>46172</v>
      </c>
      <c r="C19" s="1" t="s">
        <v>118</v>
      </c>
      <c r="D19" s="1" t="s">
        <v>132</v>
      </c>
      <c r="E19" s="1" t="s">
        <v>122</v>
      </c>
      <c r="F19" s="1" t="s">
        <v>125</v>
      </c>
      <c r="G19" s="12">
        <v>4457.07</v>
      </c>
      <c r="H19" s="12">
        <v>4056.61</v>
      </c>
      <c r="I19" s="12">
        <v>-400.46</v>
      </c>
    </row>
    <row r="20" spans="1:9" ht="16.8" customHeight="1">
      <c r="A20" s="1" t="s">
        <v>134</v>
      </c>
      <c r="B20" s="11">
        <v>46188</v>
      </c>
      <c r="C20" s="1" t="s">
        <v>135</v>
      </c>
      <c r="D20" s="1" t="s">
        <v>132</v>
      </c>
      <c r="E20" s="1" t="s">
        <v>136</v>
      </c>
      <c r="F20" s="1" t="s">
        <v>123</v>
      </c>
      <c r="G20" s="12">
        <v>4264.95</v>
      </c>
      <c r="H20" s="12">
        <v>3818.92</v>
      </c>
      <c r="I20" s="12">
        <v>-446.03</v>
      </c>
    </row>
    <row r="21" spans="1:9" ht="16.8" customHeight="1">
      <c r="A21" s="1" t="s">
        <v>137</v>
      </c>
      <c r="B21" s="11">
        <v>46162</v>
      </c>
      <c r="C21" s="1" t="s">
        <v>120</v>
      </c>
      <c r="D21" s="1" t="s">
        <v>121</v>
      </c>
      <c r="E21" s="1" t="s">
        <v>136</v>
      </c>
      <c r="F21" s="1" t="s">
        <v>106</v>
      </c>
      <c r="G21" s="12">
        <v>1032.32</v>
      </c>
      <c r="H21" s="12">
        <v>6213.55</v>
      </c>
      <c r="I21" s="12">
        <v>5181.2299999999996</v>
      </c>
    </row>
    <row r="22" spans="1:9" ht="16.8" customHeight="1">
      <c r="A22" s="1" t="s">
        <v>138</v>
      </c>
      <c r="B22" s="11">
        <v>46036</v>
      </c>
      <c r="C22" s="1" t="s">
        <v>104</v>
      </c>
      <c r="D22" s="1" t="s">
        <v>80</v>
      </c>
      <c r="E22" s="1" t="s">
        <v>110</v>
      </c>
      <c r="F22" s="1" t="s">
        <v>106</v>
      </c>
      <c r="G22" s="12">
        <v>1054.57</v>
      </c>
      <c r="H22" s="12">
        <v>4501.75</v>
      </c>
      <c r="I22" s="12">
        <v>3447.18</v>
      </c>
    </row>
    <row r="23" spans="1:9" ht="16.8" customHeight="1">
      <c r="A23" s="1" t="s">
        <v>139</v>
      </c>
      <c r="B23" s="11">
        <v>46099</v>
      </c>
      <c r="C23" s="1" t="s">
        <v>140</v>
      </c>
      <c r="D23" s="1" t="s">
        <v>109</v>
      </c>
      <c r="E23" s="1" t="s">
        <v>110</v>
      </c>
      <c r="F23" s="1" t="s">
        <v>125</v>
      </c>
      <c r="G23" s="12">
        <v>6076.71</v>
      </c>
      <c r="H23" s="12">
        <v>6263.54</v>
      </c>
      <c r="I23" s="12">
        <v>186.83</v>
      </c>
    </row>
    <row r="24" spans="1:9" ht="16.8" customHeight="1">
      <c r="A24" s="1" t="s">
        <v>141</v>
      </c>
      <c r="B24" s="11">
        <v>46095</v>
      </c>
      <c r="C24" s="1" t="s">
        <v>118</v>
      </c>
      <c r="D24" s="1" t="s">
        <v>132</v>
      </c>
      <c r="E24" s="1" t="s">
        <v>105</v>
      </c>
      <c r="F24" s="1" t="s">
        <v>125</v>
      </c>
      <c r="G24" s="12">
        <v>2009.97</v>
      </c>
      <c r="H24" s="12">
        <v>3066.71</v>
      </c>
      <c r="I24" s="12">
        <v>1056.74</v>
      </c>
    </row>
    <row r="25" spans="1:9" ht="16.8" customHeight="1">
      <c r="A25" s="1" t="s">
        <v>142</v>
      </c>
      <c r="B25" s="11">
        <v>46083</v>
      </c>
      <c r="C25" s="1" t="s">
        <v>104</v>
      </c>
      <c r="D25" s="1" t="s">
        <v>121</v>
      </c>
      <c r="E25" s="1" t="s">
        <v>105</v>
      </c>
      <c r="F25" s="1" t="s">
        <v>125</v>
      </c>
      <c r="G25" s="12">
        <v>4874.04</v>
      </c>
      <c r="H25" s="12">
        <v>6118.3</v>
      </c>
      <c r="I25" s="12">
        <v>1244.26</v>
      </c>
    </row>
    <row r="26" spans="1:9" ht="16.8" customHeight="1">
      <c r="A26" s="1" t="s">
        <v>143</v>
      </c>
      <c r="B26" s="11">
        <v>46124</v>
      </c>
      <c r="C26" s="1" t="s">
        <v>131</v>
      </c>
      <c r="D26" s="1" t="s">
        <v>109</v>
      </c>
      <c r="E26" s="1" t="s">
        <v>114</v>
      </c>
      <c r="F26" s="1" t="s">
        <v>106</v>
      </c>
      <c r="G26" s="12">
        <v>2557.63</v>
      </c>
      <c r="H26" s="12">
        <v>5526.69</v>
      </c>
      <c r="I26" s="12">
        <v>2969.06</v>
      </c>
    </row>
    <row r="27" spans="1:9" ht="16.8" customHeight="1">
      <c r="A27" s="1" t="s">
        <v>144</v>
      </c>
      <c r="B27" s="11">
        <v>46168</v>
      </c>
      <c r="C27" s="1" t="s">
        <v>120</v>
      </c>
      <c r="D27" s="1" t="s">
        <v>132</v>
      </c>
      <c r="E27" s="1" t="s">
        <v>129</v>
      </c>
      <c r="F27" s="1" t="s">
        <v>106</v>
      </c>
      <c r="G27" s="12">
        <v>412.37</v>
      </c>
      <c r="H27" s="12">
        <v>2104.66</v>
      </c>
      <c r="I27" s="12">
        <v>1692.29</v>
      </c>
    </row>
    <row r="28" spans="1:9" ht="16.8" customHeight="1">
      <c r="A28" s="1" t="s">
        <v>145</v>
      </c>
      <c r="B28" s="11">
        <v>46223</v>
      </c>
      <c r="C28" s="1" t="s">
        <v>108</v>
      </c>
      <c r="D28" s="1" t="s">
        <v>121</v>
      </c>
      <c r="E28" s="1" t="s">
        <v>116</v>
      </c>
      <c r="F28" s="1" t="s">
        <v>123</v>
      </c>
      <c r="G28" s="12">
        <v>2794.35</v>
      </c>
      <c r="H28" s="12">
        <v>2052.64</v>
      </c>
      <c r="I28" s="12">
        <v>-741.71</v>
      </c>
    </row>
    <row r="29" spans="1:9" ht="16.8" customHeight="1">
      <c r="A29" s="1" t="s">
        <v>146</v>
      </c>
      <c r="B29" s="11">
        <v>46255</v>
      </c>
      <c r="C29" s="1" t="s">
        <v>140</v>
      </c>
      <c r="D29" s="1" t="s">
        <v>128</v>
      </c>
      <c r="E29" s="1" t="s">
        <v>122</v>
      </c>
      <c r="F29" s="1" t="s">
        <v>106</v>
      </c>
      <c r="G29" s="12">
        <v>2740.48</v>
      </c>
      <c r="H29" s="12">
        <v>4639.1000000000004</v>
      </c>
      <c r="I29" s="12">
        <v>1898.62</v>
      </c>
    </row>
    <row r="30" spans="1:9" ht="16.8" customHeight="1">
      <c r="A30" s="1" t="s">
        <v>147</v>
      </c>
      <c r="B30" s="11">
        <v>46060</v>
      </c>
      <c r="C30" s="1" t="s">
        <v>131</v>
      </c>
      <c r="D30" s="1" t="s">
        <v>132</v>
      </c>
      <c r="E30" s="1" t="s">
        <v>116</v>
      </c>
      <c r="F30" s="1" t="s">
        <v>106</v>
      </c>
      <c r="G30" s="12">
        <v>3518.05</v>
      </c>
      <c r="H30" s="12">
        <v>5792.62</v>
      </c>
      <c r="I30" s="12">
        <v>2274.5700000000002</v>
      </c>
    </row>
    <row r="31" spans="1:9" ht="16.8" customHeight="1">
      <c r="A31" s="1" t="s">
        <v>148</v>
      </c>
      <c r="B31" s="11">
        <v>46082</v>
      </c>
      <c r="C31" s="1" t="s">
        <v>108</v>
      </c>
      <c r="D31" s="1" t="s">
        <v>113</v>
      </c>
      <c r="E31" s="1" t="s">
        <v>136</v>
      </c>
      <c r="F31" s="1" t="s">
        <v>123</v>
      </c>
      <c r="G31" s="12">
        <v>5994.34</v>
      </c>
      <c r="H31" s="12">
        <v>5635.56</v>
      </c>
      <c r="I31" s="12">
        <v>-358.78</v>
      </c>
    </row>
    <row r="32" spans="1:9" ht="16.8" customHeight="1">
      <c r="A32" s="1" t="s">
        <v>149</v>
      </c>
      <c r="B32" s="11">
        <v>46060</v>
      </c>
      <c r="C32" s="1" t="s">
        <v>135</v>
      </c>
      <c r="D32" s="1" t="s">
        <v>150</v>
      </c>
      <c r="E32" s="1" t="s">
        <v>122</v>
      </c>
      <c r="F32" s="1" t="s">
        <v>123</v>
      </c>
      <c r="G32" s="12">
        <v>595.71</v>
      </c>
      <c r="H32" s="12">
        <v>6408.45</v>
      </c>
      <c r="I32" s="12">
        <v>5812.74</v>
      </c>
    </row>
    <row r="33" spans="1:9" ht="16.8" customHeight="1">
      <c r="A33" s="1" t="s">
        <v>151</v>
      </c>
      <c r="B33" s="11">
        <v>46103</v>
      </c>
      <c r="C33" s="1" t="s">
        <v>131</v>
      </c>
      <c r="D33" s="1" t="s">
        <v>150</v>
      </c>
      <c r="E33" s="1" t="s">
        <v>129</v>
      </c>
      <c r="F33" s="1" t="s">
        <v>106</v>
      </c>
      <c r="G33" s="12">
        <v>994.36</v>
      </c>
      <c r="H33" s="12">
        <v>1996.26</v>
      </c>
      <c r="I33" s="12">
        <v>1001.9</v>
      </c>
    </row>
    <row r="34" spans="1:9" ht="16.8" customHeight="1">
      <c r="A34" s="1" t="s">
        <v>152</v>
      </c>
      <c r="B34" s="11">
        <v>46048</v>
      </c>
      <c r="C34" s="1" t="s">
        <v>135</v>
      </c>
      <c r="D34" s="1" t="s">
        <v>80</v>
      </c>
      <c r="E34" s="1" t="s">
        <v>114</v>
      </c>
      <c r="F34" s="1" t="s">
        <v>123</v>
      </c>
      <c r="G34" s="12">
        <v>4137.55</v>
      </c>
      <c r="H34" s="12">
        <v>2484.4499999999998</v>
      </c>
      <c r="I34" s="12">
        <v>-1653.1</v>
      </c>
    </row>
    <row r="35" spans="1:9" ht="16.8" customHeight="1">
      <c r="A35" s="1" t="s">
        <v>153</v>
      </c>
      <c r="B35" s="11">
        <v>46112</v>
      </c>
      <c r="C35" s="1" t="s">
        <v>120</v>
      </c>
      <c r="D35" s="1" t="s">
        <v>128</v>
      </c>
      <c r="E35" s="1" t="s">
        <v>154</v>
      </c>
      <c r="F35" s="1" t="s">
        <v>123</v>
      </c>
      <c r="G35" s="12">
        <v>4097.26</v>
      </c>
      <c r="H35" s="12">
        <v>6285.2</v>
      </c>
      <c r="I35" s="12">
        <v>2187.94</v>
      </c>
    </row>
    <row r="36" spans="1:9" ht="16.8" customHeight="1">
      <c r="A36" s="1" t="s">
        <v>155</v>
      </c>
      <c r="B36" s="11">
        <v>46105</v>
      </c>
      <c r="C36" s="1" t="s">
        <v>131</v>
      </c>
      <c r="D36" s="1" t="s">
        <v>132</v>
      </c>
      <c r="E36" s="1" t="s">
        <v>129</v>
      </c>
      <c r="F36" s="1" t="s">
        <v>123</v>
      </c>
      <c r="G36" s="12">
        <v>650.66999999999996</v>
      </c>
      <c r="H36" s="12">
        <v>1627.55</v>
      </c>
      <c r="I36" s="12">
        <v>976.88</v>
      </c>
    </row>
    <row r="37" spans="1:9" ht="16.8" customHeight="1">
      <c r="A37" s="1" t="s">
        <v>156</v>
      </c>
      <c r="B37" s="11">
        <v>46181</v>
      </c>
      <c r="C37" s="1" t="s">
        <v>120</v>
      </c>
      <c r="D37" s="1" t="s">
        <v>157</v>
      </c>
      <c r="E37" s="1" t="s">
        <v>154</v>
      </c>
      <c r="F37" s="1" t="s">
        <v>106</v>
      </c>
      <c r="G37" s="12">
        <v>6464.45</v>
      </c>
      <c r="H37" s="12">
        <v>6611.88</v>
      </c>
      <c r="I37" s="12">
        <v>147.43</v>
      </c>
    </row>
    <row r="38" spans="1:9" ht="16.8" customHeight="1">
      <c r="A38" s="1" t="s">
        <v>158</v>
      </c>
      <c r="B38" s="11">
        <v>46177</v>
      </c>
      <c r="C38" s="1" t="s">
        <v>104</v>
      </c>
      <c r="D38" s="1" t="s">
        <v>132</v>
      </c>
      <c r="E38" s="1" t="s">
        <v>154</v>
      </c>
      <c r="F38" s="1" t="s">
        <v>123</v>
      </c>
      <c r="G38" s="12">
        <v>4399.6000000000004</v>
      </c>
      <c r="H38" s="12">
        <v>2148.44</v>
      </c>
      <c r="I38" s="12">
        <v>-2251.16</v>
      </c>
    </row>
    <row r="39" spans="1:9" ht="16.8" customHeight="1">
      <c r="A39" s="1" t="s">
        <v>159</v>
      </c>
      <c r="B39" s="11">
        <v>46265</v>
      </c>
      <c r="C39" s="1" t="s">
        <v>120</v>
      </c>
      <c r="D39" s="1" t="s">
        <v>157</v>
      </c>
      <c r="E39" s="1" t="s">
        <v>116</v>
      </c>
      <c r="F39" s="1" t="s">
        <v>106</v>
      </c>
      <c r="G39" s="12">
        <v>4886.08</v>
      </c>
      <c r="H39" s="12">
        <v>6415.3</v>
      </c>
      <c r="I39" s="12">
        <v>1529.22</v>
      </c>
    </row>
    <row r="40" spans="1:9" ht="16.8" customHeight="1">
      <c r="A40" s="1" t="s">
        <v>160</v>
      </c>
      <c r="B40" s="11">
        <v>46233</v>
      </c>
      <c r="C40" s="1" t="s">
        <v>108</v>
      </c>
      <c r="D40" s="1" t="s">
        <v>128</v>
      </c>
      <c r="E40" s="1" t="s">
        <v>129</v>
      </c>
      <c r="F40" s="1" t="s">
        <v>123</v>
      </c>
      <c r="G40" s="12">
        <v>3817.62</v>
      </c>
      <c r="H40" s="12">
        <v>4958.5600000000004</v>
      </c>
      <c r="I40" s="12">
        <v>1140.94</v>
      </c>
    </row>
    <row r="41" spans="1:9" ht="16.8" customHeight="1">
      <c r="A41" s="1" t="s">
        <v>161</v>
      </c>
      <c r="B41" s="11">
        <v>46242</v>
      </c>
      <c r="C41" s="1" t="s">
        <v>131</v>
      </c>
      <c r="D41" s="1" t="s">
        <v>132</v>
      </c>
      <c r="E41" s="1" t="s">
        <v>105</v>
      </c>
      <c r="F41" s="1" t="s">
        <v>106</v>
      </c>
      <c r="G41" s="12">
        <v>4246.5200000000004</v>
      </c>
      <c r="H41" s="12">
        <v>3908.34</v>
      </c>
      <c r="I41" s="12">
        <v>-338.18</v>
      </c>
    </row>
    <row r="42" spans="1:9" ht="16.8" customHeight="1">
      <c r="A42" s="1" t="s">
        <v>162</v>
      </c>
      <c r="B42" s="11">
        <v>46129</v>
      </c>
      <c r="C42" s="1" t="s">
        <v>112</v>
      </c>
      <c r="D42" s="1" t="s">
        <v>132</v>
      </c>
      <c r="E42" s="1" t="s">
        <v>116</v>
      </c>
      <c r="F42" s="1" t="s">
        <v>123</v>
      </c>
      <c r="G42" s="12">
        <v>2971.43</v>
      </c>
      <c r="H42" s="12">
        <v>5380.79</v>
      </c>
      <c r="I42" s="12">
        <v>2409.36</v>
      </c>
    </row>
    <row r="43" spans="1:9" ht="16.8" customHeight="1">
      <c r="A43" s="1" t="s">
        <v>163</v>
      </c>
      <c r="B43" s="11">
        <v>46023</v>
      </c>
      <c r="C43" s="1" t="s">
        <v>140</v>
      </c>
      <c r="D43" s="1" t="s">
        <v>109</v>
      </c>
      <c r="E43" s="1" t="s">
        <v>154</v>
      </c>
      <c r="F43" s="1" t="s">
        <v>106</v>
      </c>
      <c r="G43" s="12">
        <v>1040</v>
      </c>
      <c r="H43" s="12">
        <v>2530.59</v>
      </c>
      <c r="I43" s="12">
        <v>1490.59</v>
      </c>
    </row>
    <row r="44" spans="1:9" ht="16.8" customHeight="1">
      <c r="A44" s="1" t="s">
        <v>164</v>
      </c>
      <c r="B44" s="11">
        <v>46215</v>
      </c>
      <c r="C44" s="1" t="s">
        <v>118</v>
      </c>
      <c r="D44" s="1" t="s">
        <v>109</v>
      </c>
      <c r="E44" s="1" t="s">
        <v>136</v>
      </c>
      <c r="F44" s="1" t="s">
        <v>106</v>
      </c>
      <c r="G44" s="12">
        <v>5047.83</v>
      </c>
      <c r="H44" s="12">
        <v>5728.55</v>
      </c>
      <c r="I44" s="12">
        <v>680.72</v>
      </c>
    </row>
    <row r="45" spans="1:9" ht="16.8" customHeight="1">
      <c r="A45" s="1" t="s">
        <v>165</v>
      </c>
      <c r="B45" s="11">
        <v>46042</v>
      </c>
      <c r="C45" s="1" t="s">
        <v>104</v>
      </c>
      <c r="D45" s="1" t="s">
        <v>157</v>
      </c>
      <c r="E45" s="1" t="s">
        <v>105</v>
      </c>
      <c r="F45" s="1" t="s">
        <v>106</v>
      </c>
      <c r="G45" s="12">
        <v>6054.93</v>
      </c>
      <c r="H45" s="12">
        <v>3997.86</v>
      </c>
      <c r="I45" s="12">
        <v>-2057.0700000000002</v>
      </c>
    </row>
    <row r="46" spans="1:9" ht="16.8" customHeight="1">
      <c r="A46" s="1" t="s">
        <v>166</v>
      </c>
      <c r="B46" s="11">
        <v>46199</v>
      </c>
      <c r="C46" s="1" t="s">
        <v>112</v>
      </c>
      <c r="D46" s="1" t="s">
        <v>113</v>
      </c>
      <c r="E46" s="1" t="s">
        <v>136</v>
      </c>
      <c r="F46" s="1" t="s">
        <v>125</v>
      </c>
      <c r="G46" s="12">
        <v>4201.18</v>
      </c>
      <c r="H46" s="12">
        <v>4354.01</v>
      </c>
      <c r="I46" s="12">
        <v>152.83000000000001</v>
      </c>
    </row>
    <row r="47" spans="1:9" ht="16.8" customHeight="1">
      <c r="A47" s="1" t="s">
        <v>167</v>
      </c>
      <c r="B47" s="11">
        <v>46209</v>
      </c>
      <c r="C47" s="1" t="s">
        <v>131</v>
      </c>
      <c r="D47" s="1" t="s">
        <v>128</v>
      </c>
      <c r="E47" s="1" t="s">
        <v>154</v>
      </c>
      <c r="F47" s="1" t="s">
        <v>123</v>
      </c>
      <c r="G47" s="12">
        <v>4051.57</v>
      </c>
      <c r="H47" s="12">
        <v>5548.7</v>
      </c>
      <c r="I47" s="12">
        <v>1497.13</v>
      </c>
    </row>
    <row r="48" spans="1:9" ht="16.8" customHeight="1">
      <c r="A48" s="1" t="s">
        <v>168</v>
      </c>
      <c r="B48" s="11">
        <v>46265</v>
      </c>
      <c r="C48" s="1" t="s">
        <v>108</v>
      </c>
      <c r="D48" s="1" t="s">
        <v>157</v>
      </c>
      <c r="E48" s="1" t="s">
        <v>154</v>
      </c>
      <c r="F48" s="1" t="s">
        <v>123</v>
      </c>
      <c r="G48" s="12">
        <v>4627.34</v>
      </c>
      <c r="H48" s="12">
        <v>3108.33</v>
      </c>
      <c r="I48" s="12">
        <v>-1519.01</v>
      </c>
    </row>
    <row r="49" spans="1:9" ht="16.8" customHeight="1">
      <c r="A49" s="1" t="s">
        <v>169</v>
      </c>
      <c r="B49" s="11">
        <v>46049</v>
      </c>
      <c r="C49" s="1" t="s">
        <v>131</v>
      </c>
      <c r="D49" s="1" t="s">
        <v>121</v>
      </c>
      <c r="E49" s="1" t="s">
        <v>114</v>
      </c>
      <c r="F49" s="1" t="s">
        <v>123</v>
      </c>
      <c r="G49" s="12">
        <v>3764.28</v>
      </c>
      <c r="H49" s="12">
        <v>5201.82</v>
      </c>
      <c r="I49" s="12">
        <v>1437.54</v>
      </c>
    </row>
    <row r="50" spans="1:9" ht="16.8" customHeight="1">
      <c r="A50" s="1" t="s">
        <v>170</v>
      </c>
      <c r="B50" s="11">
        <v>46167</v>
      </c>
      <c r="C50" s="1" t="s">
        <v>118</v>
      </c>
      <c r="D50" s="1" t="s">
        <v>121</v>
      </c>
      <c r="E50" s="1" t="s">
        <v>122</v>
      </c>
      <c r="F50" s="1" t="s">
        <v>125</v>
      </c>
      <c r="G50" s="12">
        <v>4222.1899999999996</v>
      </c>
      <c r="H50" s="12">
        <v>6419.88</v>
      </c>
      <c r="I50" s="12">
        <v>2197.69</v>
      </c>
    </row>
    <row r="51" spans="1:9" ht="16.8" customHeight="1">
      <c r="A51" s="1" t="s">
        <v>171</v>
      </c>
      <c r="B51" s="11">
        <v>46217</v>
      </c>
      <c r="C51" s="1" t="s">
        <v>104</v>
      </c>
      <c r="D51" s="1" t="s">
        <v>109</v>
      </c>
      <c r="E51" s="1" t="s">
        <v>154</v>
      </c>
      <c r="F51" s="1" t="s">
        <v>125</v>
      </c>
      <c r="G51" s="12">
        <v>1157.6300000000001</v>
      </c>
      <c r="H51" s="12">
        <v>1860.43</v>
      </c>
      <c r="I51" s="12">
        <v>702.8</v>
      </c>
    </row>
    <row r="52" spans="1:9" ht="16.8" customHeight="1">
      <c r="A52" s="1" t="s">
        <v>172</v>
      </c>
      <c r="B52" s="11">
        <v>46086</v>
      </c>
      <c r="C52" s="1" t="s">
        <v>112</v>
      </c>
      <c r="D52" s="1" t="s">
        <v>157</v>
      </c>
      <c r="E52" s="1" t="s">
        <v>114</v>
      </c>
      <c r="F52" s="1" t="s">
        <v>123</v>
      </c>
      <c r="G52" s="12">
        <v>3467.34</v>
      </c>
      <c r="H52" s="12">
        <v>2198.35</v>
      </c>
      <c r="I52" s="12">
        <v>-1268.99</v>
      </c>
    </row>
    <row r="53" spans="1:9" ht="16.8" customHeight="1">
      <c r="A53" s="1" t="s">
        <v>173</v>
      </c>
      <c r="B53" s="11">
        <v>46152</v>
      </c>
      <c r="C53" s="1" t="s">
        <v>131</v>
      </c>
      <c r="D53" s="1" t="s">
        <v>113</v>
      </c>
      <c r="E53" s="1" t="s">
        <v>105</v>
      </c>
      <c r="F53" s="1" t="s">
        <v>106</v>
      </c>
      <c r="G53" s="12">
        <v>5422.32</v>
      </c>
      <c r="H53" s="12">
        <v>2350.27</v>
      </c>
      <c r="I53" s="12">
        <v>-3072.05</v>
      </c>
    </row>
    <row r="54" spans="1:9" ht="16.8" customHeight="1">
      <c r="A54" s="1" t="s">
        <v>174</v>
      </c>
      <c r="B54" s="11">
        <v>46234</v>
      </c>
      <c r="C54" s="1" t="s">
        <v>120</v>
      </c>
      <c r="D54" s="1" t="s">
        <v>157</v>
      </c>
      <c r="E54" s="1" t="s">
        <v>105</v>
      </c>
      <c r="F54" s="1" t="s">
        <v>125</v>
      </c>
      <c r="G54" s="12">
        <v>1464.86</v>
      </c>
      <c r="H54" s="12">
        <v>6323.09</v>
      </c>
      <c r="I54" s="12">
        <v>4858.2299999999996</v>
      </c>
    </row>
    <row r="55" spans="1:9" ht="16.8" customHeight="1">
      <c r="A55" s="1" t="s">
        <v>175</v>
      </c>
      <c r="B55" s="11">
        <v>46071</v>
      </c>
      <c r="C55" s="1" t="s">
        <v>140</v>
      </c>
      <c r="D55" s="1" t="s">
        <v>109</v>
      </c>
      <c r="E55" s="1" t="s">
        <v>122</v>
      </c>
      <c r="F55" s="1" t="s">
        <v>123</v>
      </c>
      <c r="G55" s="12">
        <v>2642.47</v>
      </c>
      <c r="H55" s="12">
        <v>1710.2</v>
      </c>
      <c r="I55" s="12">
        <v>-932.27</v>
      </c>
    </row>
    <row r="56" spans="1:9" ht="16.8" customHeight="1">
      <c r="A56" s="1" t="s">
        <v>176</v>
      </c>
      <c r="B56" s="11">
        <v>46225</v>
      </c>
      <c r="C56" s="1" t="s">
        <v>140</v>
      </c>
      <c r="D56" s="1" t="s">
        <v>132</v>
      </c>
      <c r="E56" s="1" t="s">
        <v>129</v>
      </c>
      <c r="F56" s="1" t="s">
        <v>123</v>
      </c>
      <c r="G56" s="12">
        <v>4570.07</v>
      </c>
      <c r="H56" s="12">
        <v>3301.88</v>
      </c>
      <c r="I56" s="12">
        <v>-1268.19</v>
      </c>
    </row>
    <row r="57" spans="1:9" ht="16.8" customHeight="1">
      <c r="A57" s="1" t="s">
        <v>177</v>
      </c>
      <c r="B57" s="11">
        <v>46243</v>
      </c>
      <c r="C57" s="1" t="s">
        <v>112</v>
      </c>
      <c r="D57" s="1" t="s">
        <v>113</v>
      </c>
      <c r="E57" s="1" t="s">
        <v>122</v>
      </c>
      <c r="F57" s="1" t="s">
        <v>106</v>
      </c>
      <c r="G57" s="12">
        <v>5960.12</v>
      </c>
      <c r="H57" s="12">
        <v>4684.1499999999996</v>
      </c>
      <c r="I57" s="12">
        <v>-1275.97</v>
      </c>
    </row>
    <row r="58" spans="1:9" ht="16.8" customHeight="1">
      <c r="A58" s="1" t="s">
        <v>178</v>
      </c>
      <c r="B58" s="11">
        <v>46167</v>
      </c>
      <c r="C58" s="1" t="s">
        <v>118</v>
      </c>
      <c r="D58" s="1" t="s">
        <v>150</v>
      </c>
      <c r="E58" s="1" t="s">
        <v>105</v>
      </c>
      <c r="F58" s="1" t="s">
        <v>125</v>
      </c>
      <c r="G58" s="12">
        <v>3896.52</v>
      </c>
      <c r="H58" s="12">
        <v>3751.5</v>
      </c>
      <c r="I58" s="12">
        <v>-145.02000000000001</v>
      </c>
    </row>
    <row r="59" spans="1:9" ht="16.8" customHeight="1">
      <c r="A59" s="1" t="s">
        <v>179</v>
      </c>
      <c r="B59" s="11">
        <v>46036</v>
      </c>
      <c r="C59" s="1" t="s">
        <v>108</v>
      </c>
      <c r="D59" s="1" t="s">
        <v>113</v>
      </c>
      <c r="E59" s="1" t="s">
        <v>105</v>
      </c>
      <c r="F59" s="1" t="s">
        <v>106</v>
      </c>
      <c r="G59" s="12">
        <v>4821.6000000000004</v>
      </c>
      <c r="H59" s="12">
        <v>3583.65</v>
      </c>
      <c r="I59" s="12">
        <v>-1237.95</v>
      </c>
    </row>
    <row r="60" spans="1:9" ht="16.8" customHeight="1">
      <c r="A60" s="1" t="s">
        <v>180</v>
      </c>
      <c r="B60" s="11">
        <v>46198</v>
      </c>
      <c r="C60" s="1" t="s">
        <v>135</v>
      </c>
      <c r="D60" s="1" t="s">
        <v>121</v>
      </c>
      <c r="E60" s="1" t="s">
        <v>122</v>
      </c>
      <c r="F60" s="1" t="s">
        <v>123</v>
      </c>
      <c r="G60" s="12">
        <v>5381.45</v>
      </c>
      <c r="H60" s="12">
        <v>1720.12</v>
      </c>
      <c r="I60" s="12">
        <v>-3661.33</v>
      </c>
    </row>
    <row r="61" spans="1:9" ht="16.8" customHeight="1">
      <c r="A61" s="1" t="s">
        <v>181</v>
      </c>
      <c r="B61" s="11">
        <v>46261</v>
      </c>
      <c r="C61" s="1" t="s">
        <v>120</v>
      </c>
      <c r="D61" s="1" t="s">
        <v>150</v>
      </c>
      <c r="E61" s="1" t="s">
        <v>122</v>
      </c>
      <c r="F61" s="1" t="s">
        <v>106</v>
      </c>
      <c r="G61" s="12">
        <v>4158.07</v>
      </c>
      <c r="H61" s="12">
        <v>2884.86</v>
      </c>
      <c r="I61" s="12">
        <v>-1273.21</v>
      </c>
    </row>
    <row r="62" spans="1:9" ht="16.8" customHeight="1">
      <c r="A62" s="1" t="s">
        <v>182</v>
      </c>
      <c r="B62" s="11">
        <v>46197</v>
      </c>
      <c r="C62" s="1" t="s">
        <v>131</v>
      </c>
      <c r="D62" s="1" t="s">
        <v>150</v>
      </c>
      <c r="E62" s="1" t="s">
        <v>154</v>
      </c>
      <c r="F62" s="1" t="s">
        <v>125</v>
      </c>
      <c r="G62" s="12">
        <v>4640.33</v>
      </c>
      <c r="H62" s="12">
        <v>6801.87</v>
      </c>
      <c r="I62" s="12">
        <v>2161.54</v>
      </c>
    </row>
    <row r="63" spans="1:9" ht="16.8" customHeight="1">
      <c r="A63" s="1" t="s">
        <v>183</v>
      </c>
      <c r="B63" s="11">
        <v>46184</v>
      </c>
      <c r="C63" s="1" t="s">
        <v>108</v>
      </c>
      <c r="D63" s="1" t="s">
        <v>132</v>
      </c>
      <c r="E63" s="1" t="s">
        <v>110</v>
      </c>
      <c r="F63" s="1" t="s">
        <v>106</v>
      </c>
      <c r="G63" s="12">
        <v>3133.44</v>
      </c>
      <c r="H63" s="12">
        <v>2458.3000000000002</v>
      </c>
      <c r="I63" s="12">
        <v>-675.14</v>
      </c>
    </row>
    <row r="64" spans="1:9" ht="16.8" customHeight="1">
      <c r="A64" s="1" t="s">
        <v>184</v>
      </c>
      <c r="B64" s="11">
        <v>46095</v>
      </c>
      <c r="C64" s="1" t="s">
        <v>140</v>
      </c>
      <c r="D64" s="1" t="s">
        <v>80</v>
      </c>
      <c r="E64" s="1" t="s">
        <v>129</v>
      </c>
      <c r="F64" s="1" t="s">
        <v>123</v>
      </c>
      <c r="G64" s="12">
        <v>1282.19</v>
      </c>
      <c r="H64" s="12">
        <v>2848.95</v>
      </c>
      <c r="I64" s="12">
        <v>1566.76</v>
      </c>
    </row>
    <row r="65" spans="1:9" ht="16.8" customHeight="1">
      <c r="A65" s="1" t="s">
        <v>185</v>
      </c>
      <c r="B65" s="11">
        <v>46052</v>
      </c>
      <c r="C65" s="1" t="s">
        <v>112</v>
      </c>
      <c r="D65" s="1" t="s">
        <v>80</v>
      </c>
      <c r="E65" s="1" t="s">
        <v>122</v>
      </c>
      <c r="F65" s="1" t="s">
        <v>106</v>
      </c>
      <c r="G65" s="12">
        <v>6402.22</v>
      </c>
      <c r="H65" s="12">
        <v>3331.89</v>
      </c>
      <c r="I65" s="12">
        <v>-3070.33</v>
      </c>
    </row>
    <row r="66" spans="1:9" ht="16.8" customHeight="1">
      <c r="A66" s="1" t="s">
        <v>186</v>
      </c>
      <c r="B66" s="11">
        <v>46048</v>
      </c>
      <c r="C66" s="1" t="s">
        <v>108</v>
      </c>
      <c r="D66" s="1" t="s">
        <v>121</v>
      </c>
      <c r="E66" s="1" t="s">
        <v>136</v>
      </c>
      <c r="F66" s="1" t="s">
        <v>106</v>
      </c>
      <c r="G66" s="12">
        <v>2293.37</v>
      </c>
      <c r="H66" s="12">
        <v>4066.99</v>
      </c>
      <c r="I66" s="12">
        <v>1773.62</v>
      </c>
    </row>
    <row r="67" spans="1:9" ht="16.8" customHeight="1">
      <c r="A67" s="1" t="s">
        <v>187</v>
      </c>
      <c r="B67" s="11">
        <v>46053</v>
      </c>
      <c r="C67" s="1" t="s">
        <v>140</v>
      </c>
      <c r="D67" s="1" t="s">
        <v>157</v>
      </c>
      <c r="E67" s="1" t="s">
        <v>116</v>
      </c>
      <c r="F67" s="1" t="s">
        <v>106</v>
      </c>
      <c r="G67" s="12">
        <v>5077.6400000000003</v>
      </c>
      <c r="H67" s="12">
        <v>3327.58</v>
      </c>
      <c r="I67" s="12">
        <v>-1750.06</v>
      </c>
    </row>
    <row r="68" spans="1:9" ht="16.8" customHeight="1">
      <c r="A68" s="1" t="s">
        <v>188</v>
      </c>
      <c r="B68" s="11">
        <v>46141</v>
      </c>
      <c r="C68" s="1" t="s">
        <v>120</v>
      </c>
      <c r="D68" s="1" t="s">
        <v>132</v>
      </c>
      <c r="E68" s="1" t="s">
        <v>110</v>
      </c>
      <c r="F68" s="1" t="s">
        <v>106</v>
      </c>
      <c r="G68" s="12">
        <v>5550.03</v>
      </c>
      <c r="H68" s="12">
        <v>6881.24</v>
      </c>
      <c r="I68" s="12">
        <v>1331.21</v>
      </c>
    </row>
    <row r="69" spans="1:9" ht="16.8" customHeight="1">
      <c r="A69" s="1" t="s">
        <v>189</v>
      </c>
      <c r="B69" s="11">
        <v>46261</v>
      </c>
      <c r="C69" s="1" t="s">
        <v>104</v>
      </c>
      <c r="D69" s="1" t="s">
        <v>150</v>
      </c>
      <c r="E69" s="1" t="s">
        <v>116</v>
      </c>
      <c r="F69" s="1" t="s">
        <v>123</v>
      </c>
      <c r="G69" s="12">
        <v>5796.25</v>
      </c>
      <c r="H69" s="12">
        <v>1554.3</v>
      </c>
      <c r="I69" s="12">
        <v>-4241.95</v>
      </c>
    </row>
    <row r="70" spans="1:9" ht="16.8" customHeight="1">
      <c r="A70" s="1" t="s">
        <v>190</v>
      </c>
      <c r="B70" s="11">
        <v>46157</v>
      </c>
      <c r="C70" s="1" t="s">
        <v>120</v>
      </c>
      <c r="D70" s="1" t="s">
        <v>150</v>
      </c>
      <c r="E70" s="1" t="s">
        <v>122</v>
      </c>
      <c r="F70" s="1" t="s">
        <v>123</v>
      </c>
      <c r="G70" s="12">
        <v>1165.94</v>
      </c>
      <c r="H70" s="12">
        <v>3945.63</v>
      </c>
      <c r="I70" s="12">
        <v>2779.69</v>
      </c>
    </row>
    <row r="71" spans="1:9" ht="16.8" customHeight="1">
      <c r="A71" s="1" t="s">
        <v>191</v>
      </c>
      <c r="B71" s="11">
        <v>46030</v>
      </c>
      <c r="C71" s="1" t="s">
        <v>140</v>
      </c>
      <c r="D71" s="1" t="s">
        <v>113</v>
      </c>
      <c r="E71" s="1" t="s">
        <v>105</v>
      </c>
      <c r="F71" s="1" t="s">
        <v>106</v>
      </c>
      <c r="G71" s="12">
        <v>584.88</v>
      </c>
      <c r="H71" s="12">
        <v>6909.37</v>
      </c>
      <c r="I71" s="12">
        <v>6324.49</v>
      </c>
    </row>
    <row r="72" spans="1:9" ht="16.8" customHeight="1">
      <c r="A72" s="1" t="s">
        <v>192</v>
      </c>
      <c r="B72" s="11">
        <v>46224</v>
      </c>
      <c r="C72" s="1" t="s">
        <v>112</v>
      </c>
      <c r="D72" s="1" t="s">
        <v>113</v>
      </c>
      <c r="E72" s="1" t="s">
        <v>154</v>
      </c>
      <c r="F72" s="1" t="s">
        <v>123</v>
      </c>
      <c r="G72" s="12">
        <v>2291.34</v>
      </c>
      <c r="H72" s="12">
        <v>5192.7700000000004</v>
      </c>
      <c r="I72" s="12">
        <v>2901.43</v>
      </c>
    </row>
    <row r="73" spans="1:9" ht="16.8" customHeight="1">
      <c r="A73" s="1" t="s">
        <v>193</v>
      </c>
      <c r="B73" s="11">
        <v>46142</v>
      </c>
      <c r="C73" s="1" t="s">
        <v>118</v>
      </c>
      <c r="D73" s="1" t="s">
        <v>113</v>
      </c>
      <c r="E73" s="1" t="s">
        <v>114</v>
      </c>
      <c r="F73" s="1" t="s">
        <v>125</v>
      </c>
      <c r="G73" s="12">
        <v>5554.2</v>
      </c>
      <c r="H73" s="12">
        <v>2315.9899999999998</v>
      </c>
      <c r="I73" s="12">
        <v>-3238.21</v>
      </c>
    </row>
    <row r="74" spans="1:9" ht="16.8" customHeight="1">
      <c r="A74" s="1" t="s">
        <v>194</v>
      </c>
      <c r="B74" s="11">
        <v>46175</v>
      </c>
      <c r="C74" s="1" t="s">
        <v>118</v>
      </c>
      <c r="D74" s="1" t="s">
        <v>157</v>
      </c>
      <c r="E74" s="1" t="s">
        <v>114</v>
      </c>
      <c r="F74" s="1" t="s">
        <v>123</v>
      </c>
      <c r="G74" s="12">
        <v>3868.14</v>
      </c>
      <c r="H74" s="12">
        <v>6890.27</v>
      </c>
      <c r="I74" s="12">
        <v>3022.13</v>
      </c>
    </row>
    <row r="75" spans="1:9" ht="16.8" customHeight="1">
      <c r="A75" s="1" t="s">
        <v>195</v>
      </c>
      <c r="B75" s="11">
        <v>46167</v>
      </c>
      <c r="C75" s="1" t="s">
        <v>120</v>
      </c>
      <c r="D75" s="1" t="s">
        <v>150</v>
      </c>
      <c r="E75" s="1" t="s">
        <v>154</v>
      </c>
      <c r="F75" s="1" t="s">
        <v>123</v>
      </c>
      <c r="G75" s="12">
        <v>2612.37</v>
      </c>
      <c r="H75" s="12">
        <v>3946.88</v>
      </c>
      <c r="I75" s="12">
        <v>1334.51</v>
      </c>
    </row>
    <row r="76" spans="1:9" ht="16.8" customHeight="1">
      <c r="A76" s="1" t="s">
        <v>196</v>
      </c>
      <c r="B76" s="11">
        <v>46250</v>
      </c>
      <c r="C76" s="1" t="s">
        <v>118</v>
      </c>
      <c r="D76" s="1" t="s">
        <v>150</v>
      </c>
      <c r="E76" s="1" t="s">
        <v>105</v>
      </c>
      <c r="F76" s="1" t="s">
        <v>125</v>
      </c>
      <c r="G76" s="12">
        <v>3062.29</v>
      </c>
      <c r="H76" s="12">
        <v>5001.91</v>
      </c>
      <c r="I76" s="12">
        <v>1939.62</v>
      </c>
    </row>
    <row r="77" spans="1:9" ht="16.8" customHeight="1">
      <c r="A77" s="1" t="s">
        <v>197</v>
      </c>
      <c r="B77" s="11">
        <v>46066</v>
      </c>
      <c r="C77" s="1" t="s">
        <v>140</v>
      </c>
      <c r="D77" s="1" t="s">
        <v>128</v>
      </c>
      <c r="E77" s="1" t="s">
        <v>129</v>
      </c>
      <c r="F77" s="1" t="s">
        <v>125</v>
      </c>
      <c r="G77" s="12">
        <v>5413.43</v>
      </c>
      <c r="H77" s="12">
        <v>1945.22</v>
      </c>
      <c r="I77" s="12">
        <v>-3468.21</v>
      </c>
    </row>
    <row r="78" spans="1:9" ht="16.8" customHeight="1">
      <c r="A78" s="1" t="s">
        <v>198</v>
      </c>
      <c r="B78" s="11">
        <v>46044</v>
      </c>
      <c r="C78" s="1" t="s">
        <v>104</v>
      </c>
      <c r="D78" s="1" t="s">
        <v>132</v>
      </c>
      <c r="E78" s="1" t="s">
        <v>116</v>
      </c>
      <c r="F78" s="1" t="s">
        <v>123</v>
      </c>
      <c r="G78" s="12">
        <v>1110.8</v>
      </c>
      <c r="H78" s="12">
        <v>3491.82</v>
      </c>
      <c r="I78" s="12">
        <v>2381.02</v>
      </c>
    </row>
    <row r="79" spans="1:9" ht="16.8" customHeight="1">
      <c r="A79" s="1" t="s">
        <v>199</v>
      </c>
      <c r="B79" s="11">
        <v>46235</v>
      </c>
      <c r="C79" s="1" t="s">
        <v>108</v>
      </c>
      <c r="D79" s="1" t="s">
        <v>109</v>
      </c>
      <c r="E79" s="1" t="s">
        <v>105</v>
      </c>
      <c r="F79" s="1" t="s">
        <v>106</v>
      </c>
      <c r="G79" s="12">
        <v>5018.63</v>
      </c>
      <c r="H79" s="12">
        <v>3901.41</v>
      </c>
      <c r="I79" s="12">
        <v>-1117.22</v>
      </c>
    </row>
    <row r="80" spans="1:9" ht="16.8" customHeight="1">
      <c r="A80" s="1" t="s">
        <v>200</v>
      </c>
      <c r="B80" s="11">
        <v>46246</v>
      </c>
      <c r="C80" s="1" t="s">
        <v>131</v>
      </c>
      <c r="D80" s="1" t="s">
        <v>128</v>
      </c>
      <c r="E80" s="1" t="s">
        <v>154</v>
      </c>
      <c r="F80" s="1" t="s">
        <v>106</v>
      </c>
      <c r="G80" s="12">
        <v>3701.98</v>
      </c>
      <c r="H80" s="12">
        <v>3559.33</v>
      </c>
      <c r="I80" s="12">
        <v>-142.65</v>
      </c>
    </row>
    <row r="81" spans="1:9" ht="16.8" customHeight="1">
      <c r="A81" s="1" t="s">
        <v>201</v>
      </c>
      <c r="B81" s="11">
        <v>46051</v>
      </c>
      <c r="C81" s="1" t="s">
        <v>108</v>
      </c>
      <c r="D81" s="1" t="s">
        <v>132</v>
      </c>
      <c r="E81" s="1" t="s">
        <v>114</v>
      </c>
      <c r="F81" s="1" t="s">
        <v>106</v>
      </c>
      <c r="G81" s="12">
        <v>2950.28</v>
      </c>
      <c r="H81" s="12">
        <v>4658.33</v>
      </c>
      <c r="I81" s="12">
        <v>1708.05</v>
      </c>
    </row>
    <row r="82" spans="1:9" ht="16.8" customHeight="1">
      <c r="A82" s="1" t="s">
        <v>202</v>
      </c>
      <c r="B82" s="11">
        <v>46248</v>
      </c>
      <c r="C82" s="1" t="s">
        <v>135</v>
      </c>
      <c r="D82" s="1" t="s">
        <v>109</v>
      </c>
      <c r="E82" s="1" t="s">
        <v>114</v>
      </c>
      <c r="F82" s="1" t="s">
        <v>123</v>
      </c>
      <c r="G82" s="12">
        <v>5588.59</v>
      </c>
      <c r="H82" s="12">
        <v>1516.65</v>
      </c>
      <c r="I82" s="12">
        <v>-4071.94</v>
      </c>
    </row>
    <row r="83" spans="1:9" ht="16.8" customHeight="1">
      <c r="A83" s="1" t="s">
        <v>203</v>
      </c>
      <c r="B83" s="11">
        <v>46100</v>
      </c>
      <c r="C83" s="1" t="s">
        <v>108</v>
      </c>
      <c r="D83" s="1" t="s">
        <v>109</v>
      </c>
      <c r="E83" s="1" t="s">
        <v>105</v>
      </c>
      <c r="F83" s="1" t="s">
        <v>123</v>
      </c>
      <c r="G83" s="12">
        <v>713.54</v>
      </c>
      <c r="H83" s="12">
        <v>3129.82</v>
      </c>
      <c r="I83" s="12">
        <v>2416.2800000000002</v>
      </c>
    </row>
    <row r="84" spans="1:9" ht="16.8" customHeight="1">
      <c r="A84" s="1" t="s">
        <v>204</v>
      </c>
      <c r="B84" s="11">
        <v>46233</v>
      </c>
      <c r="C84" s="1" t="s">
        <v>135</v>
      </c>
      <c r="D84" s="1" t="s">
        <v>109</v>
      </c>
      <c r="E84" s="1" t="s">
        <v>136</v>
      </c>
      <c r="F84" s="1" t="s">
        <v>123</v>
      </c>
      <c r="G84" s="12">
        <v>3711.72</v>
      </c>
      <c r="H84" s="12">
        <v>3370.93</v>
      </c>
      <c r="I84" s="12">
        <v>-340.79</v>
      </c>
    </row>
    <row r="85" spans="1:9" ht="16.8" customHeight="1">
      <c r="A85" s="1" t="s">
        <v>205</v>
      </c>
      <c r="B85" s="11">
        <v>46248</v>
      </c>
      <c r="C85" s="1" t="s">
        <v>118</v>
      </c>
      <c r="D85" s="1" t="s">
        <v>113</v>
      </c>
      <c r="E85" s="1" t="s">
        <v>154</v>
      </c>
      <c r="F85" s="1" t="s">
        <v>106</v>
      </c>
      <c r="G85" s="12">
        <v>611.09</v>
      </c>
      <c r="H85" s="12">
        <v>6131.27</v>
      </c>
      <c r="I85" s="12">
        <v>5520.18</v>
      </c>
    </row>
    <row r="86" spans="1:9" ht="16.8" customHeight="1">
      <c r="A86" s="1" t="s">
        <v>206</v>
      </c>
      <c r="B86" s="11">
        <v>46203</v>
      </c>
      <c r="C86" s="1" t="s">
        <v>131</v>
      </c>
      <c r="D86" s="1" t="s">
        <v>157</v>
      </c>
      <c r="E86" s="1" t="s">
        <v>105</v>
      </c>
      <c r="F86" s="1" t="s">
        <v>123</v>
      </c>
      <c r="G86" s="12">
        <v>5724.67</v>
      </c>
      <c r="H86" s="12">
        <v>1729.29</v>
      </c>
      <c r="I86" s="12">
        <v>-3995.38</v>
      </c>
    </row>
    <row r="87" spans="1:9" ht="16.8" customHeight="1">
      <c r="A87" s="1" t="s">
        <v>207</v>
      </c>
      <c r="B87" s="11">
        <v>46171</v>
      </c>
      <c r="C87" s="1" t="s">
        <v>140</v>
      </c>
      <c r="D87" s="1" t="s">
        <v>121</v>
      </c>
      <c r="E87" s="1" t="s">
        <v>122</v>
      </c>
      <c r="F87" s="1" t="s">
        <v>123</v>
      </c>
      <c r="G87" s="12">
        <v>4634.67</v>
      </c>
      <c r="H87" s="12">
        <v>3392.61</v>
      </c>
      <c r="I87" s="12">
        <v>-1242.06</v>
      </c>
    </row>
    <row r="88" spans="1:9" ht="16.8" customHeight="1">
      <c r="A88" s="1" t="s">
        <v>208</v>
      </c>
      <c r="B88" s="11">
        <v>46252</v>
      </c>
      <c r="C88" s="1" t="s">
        <v>131</v>
      </c>
      <c r="D88" s="1" t="s">
        <v>109</v>
      </c>
      <c r="E88" s="1" t="s">
        <v>105</v>
      </c>
      <c r="F88" s="1" t="s">
        <v>123</v>
      </c>
      <c r="G88" s="12">
        <v>4099.8999999999996</v>
      </c>
      <c r="H88" s="12">
        <v>5929.04</v>
      </c>
      <c r="I88" s="12">
        <v>1829.14</v>
      </c>
    </row>
    <row r="89" spans="1:9" ht="16.8" customHeight="1">
      <c r="A89" s="1" t="s">
        <v>209</v>
      </c>
      <c r="B89" s="11">
        <v>46085</v>
      </c>
      <c r="C89" s="1" t="s">
        <v>131</v>
      </c>
      <c r="D89" s="1" t="s">
        <v>157</v>
      </c>
      <c r="E89" s="1" t="s">
        <v>136</v>
      </c>
      <c r="F89" s="1" t="s">
        <v>106</v>
      </c>
      <c r="G89" s="12">
        <v>4177.57</v>
      </c>
      <c r="H89" s="12">
        <v>2560.15</v>
      </c>
      <c r="I89" s="12">
        <v>-1617.42</v>
      </c>
    </row>
    <row r="90" spans="1:9" ht="16.8" customHeight="1">
      <c r="A90" s="1" t="s">
        <v>210</v>
      </c>
      <c r="B90" s="11">
        <v>46208</v>
      </c>
      <c r="C90" s="1" t="s">
        <v>112</v>
      </c>
      <c r="D90" s="1" t="s">
        <v>113</v>
      </c>
      <c r="E90" s="1" t="s">
        <v>105</v>
      </c>
      <c r="F90" s="1" t="s">
        <v>125</v>
      </c>
      <c r="G90" s="12">
        <v>4250.8</v>
      </c>
      <c r="H90" s="12">
        <v>1807.55</v>
      </c>
      <c r="I90" s="12">
        <v>-2443.25</v>
      </c>
    </row>
    <row r="91" spans="1:9" ht="16.8" customHeight="1">
      <c r="A91" s="1" t="s">
        <v>211</v>
      </c>
      <c r="B91" s="11">
        <v>46168</v>
      </c>
      <c r="C91" s="1" t="s">
        <v>104</v>
      </c>
      <c r="D91" s="1" t="s">
        <v>157</v>
      </c>
      <c r="E91" s="1" t="s">
        <v>114</v>
      </c>
      <c r="F91" s="1" t="s">
        <v>106</v>
      </c>
      <c r="G91" s="12">
        <v>5787.9</v>
      </c>
      <c r="H91" s="12">
        <v>2627.22</v>
      </c>
      <c r="I91" s="12">
        <v>-3160.68</v>
      </c>
    </row>
    <row r="92" spans="1:9" ht="16.8" customHeight="1">
      <c r="A92" s="1" t="s">
        <v>212</v>
      </c>
      <c r="B92" s="11">
        <v>46097</v>
      </c>
      <c r="C92" s="1" t="s">
        <v>135</v>
      </c>
      <c r="D92" s="1" t="s">
        <v>150</v>
      </c>
      <c r="E92" s="1" t="s">
        <v>114</v>
      </c>
      <c r="F92" s="1" t="s">
        <v>106</v>
      </c>
      <c r="G92" s="12">
        <v>3322.77</v>
      </c>
      <c r="H92" s="12">
        <v>1975.96</v>
      </c>
      <c r="I92" s="12">
        <v>-1346.81</v>
      </c>
    </row>
    <row r="93" spans="1:9" ht="16.8" customHeight="1">
      <c r="A93" s="1" t="s">
        <v>213</v>
      </c>
      <c r="B93" s="11">
        <v>46242</v>
      </c>
      <c r="C93" s="1" t="s">
        <v>118</v>
      </c>
      <c r="D93" s="1" t="s">
        <v>150</v>
      </c>
      <c r="E93" s="1" t="s">
        <v>116</v>
      </c>
      <c r="F93" s="1" t="s">
        <v>123</v>
      </c>
      <c r="G93" s="12">
        <v>3377.67</v>
      </c>
      <c r="H93" s="12">
        <v>5789.92</v>
      </c>
      <c r="I93" s="12">
        <v>2412.25</v>
      </c>
    </row>
    <row r="94" spans="1:9" ht="16.8" customHeight="1">
      <c r="A94" s="1" t="s">
        <v>214</v>
      </c>
      <c r="B94" s="11">
        <v>46211</v>
      </c>
      <c r="C94" s="1" t="s">
        <v>120</v>
      </c>
      <c r="D94" s="1" t="s">
        <v>121</v>
      </c>
      <c r="E94" s="1" t="s">
        <v>114</v>
      </c>
      <c r="F94" s="1" t="s">
        <v>123</v>
      </c>
      <c r="G94" s="12">
        <v>1421.04</v>
      </c>
      <c r="H94" s="12">
        <v>6383.97</v>
      </c>
      <c r="I94" s="12">
        <v>4962.93</v>
      </c>
    </row>
    <row r="95" spans="1:9" ht="16.8" customHeight="1">
      <c r="A95" s="1" t="s">
        <v>215</v>
      </c>
      <c r="B95" s="11">
        <v>46075</v>
      </c>
      <c r="C95" s="1" t="s">
        <v>131</v>
      </c>
      <c r="D95" s="1" t="s">
        <v>150</v>
      </c>
      <c r="E95" s="1" t="s">
        <v>116</v>
      </c>
      <c r="F95" s="1" t="s">
        <v>106</v>
      </c>
      <c r="G95" s="12">
        <v>5416.02</v>
      </c>
      <c r="H95" s="12">
        <v>4963.5200000000004</v>
      </c>
      <c r="I95" s="12">
        <v>-452.5</v>
      </c>
    </row>
    <row r="96" spans="1:9" ht="16.8" customHeight="1">
      <c r="A96" s="1" t="s">
        <v>216</v>
      </c>
      <c r="B96" s="11">
        <v>46140</v>
      </c>
      <c r="C96" s="1" t="s">
        <v>104</v>
      </c>
      <c r="D96" s="1" t="s">
        <v>109</v>
      </c>
      <c r="E96" s="1" t="s">
        <v>116</v>
      </c>
      <c r="F96" s="1" t="s">
        <v>123</v>
      </c>
      <c r="G96" s="12">
        <v>1456.63</v>
      </c>
      <c r="H96" s="12">
        <v>5742.02</v>
      </c>
      <c r="I96" s="12">
        <v>4285.3900000000003</v>
      </c>
    </row>
    <row r="97" spans="1:9" ht="16.8" customHeight="1">
      <c r="A97" s="1" t="s">
        <v>217</v>
      </c>
      <c r="B97" s="11">
        <v>46121</v>
      </c>
      <c r="C97" s="1" t="s">
        <v>118</v>
      </c>
      <c r="D97" s="1" t="s">
        <v>109</v>
      </c>
      <c r="E97" s="1" t="s">
        <v>129</v>
      </c>
      <c r="F97" s="1" t="s">
        <v>106</v>
      </c>
      <c r="G97" s="12">
        <v>1566.29</v>
      </c>
      <c r="H97" s="12">
        <v>3514.36</v>
      </c>
      <c r="I97" s="12">
        <v>1948.07</v>
      </c>
    </row>
    <row r="98" spans="1:9" ht="16.8" customHeight="1">
      <c r="A98" s="1" t="s">
        <v>218</v>
      </c>
      <c r="B98" s="11">
        <v>46068</v>
      </c>
      <c r="C98" s="1" t="s">
        <v>104</v>
      </c>
      <c r="D98" s="1" t="s">
        <v>121</v>
      </c>
      <c r="E98" s="1" t="s">
        <v>116</v>
      </c>
      <c r="F98" s="1" t="s">
        <v>125</v>
      </c>
      <c r="G98" s="12">
        <v>6470.1</v>
      </c>
      <c r="H98" s="12">
        <v>1808.35</v>
      </c>
      <c r="I98" s="12">
        <v>-4661.75</v>
      </c>
    </row>
    <row r="99" spans="1:9" ht="16.8" customHeight="1">
      <c r="A99" s="1" t="s">
        <v>219</v>
      </c>
      <c r="B99" s="11">
        <v>46063</v>
      </c>
      <c r="C99" s="1" t="s">
        <v>140</v>
      </c>
      <c r="D99" s="1" t="s">
        <v>157</v>
      </c>
      <c r="E99" s="1" t="s">
        <v>129</v>
      </c>
      <c r="F99" s="1" t="s">
        <v>106</v>
      </c>
      <c r="G99" s="12">
        <v>1485.37</v>
      </c>
      <c r="H99" s="12">
        <v>2642.47</v>
      </c>
      <c r="I99" s="12">
        <v>1157.0999999999999</v>
      </c>
    </row>
    <row r="100" spans="1:9" ht="16.8" customHeight="1">
      <c r="A100" s="1" t="s">
        <v>220</v>
      </c>
      <c r="B100" s="11">
        <v>46153</v>
      </c>
      <c r="C100" s="1" t="s">
        <v>112</v>
      </c>
      <c r="D100" s="1" t="s">
        <v>80</v>
      </c>
      <c r="E100" s="1" t="s">
        <v>154</v>
      </c>
      <c r="F100" s="1" t="s">
        <v>106</v>
      </c>
      <c r="G100" s="12">
        <v>2966.43</v>
      </c>
      <c r="H100" s="12">
        <v>4394.5200000000004</v>
      </c>
      <c r="I100" s="12">
        <v>1428.09</v>
      </c>
    </row>
    <row r="101" spans="1:9" ht="16.8" customHeight="1">
      <c r="A101" s="1" t="s">
        <v>221</v>
      </c>
      <c r="B101" s="11">
        <v>46222</v>
      </c>
      <c r="C101" s="1" t="s">
        <v>112</v>
      </c>
      <c r="D101" s="1" t="s">
        <v>113</v>
      </c>
      <c r="E101" s="1" t="s">
        <v>154</v>
      </c>
      <c r="F101" s="1" t="s">
        <v>123</v>
      </c>
      <c r="G101" s="12">
        <v>3642.48</v>
      </c>
      <c r="H101" s="12">
        <v>1824.38</v>
      </c>
      <c r="I101" s="12">
        <v>-1818.1</v>
      </c>
    </row>
    <row r="102" spans="1:9" ht="16.8" customHeight="1">
      <c r="A102" s="1" t="s">
        <v>222</v>
      </c>
      <c r="B102" s="11">
        <v>46259</v>
      </c>
      <c r="C102" s="1" t="s">
        <v>118</v>
      </c>
      <c r="D102" s="1" t="s">
        <v>109</v>
      </c>
      <c r="E102" s="1" t="s">
        <v>110</v>
      </c>
      <c r="F102" s="1" t="s">
        <v>125</v>
      </c>
      <c r="G102" s="12">
        <v>4073.23</v>
      </c>
      <c r="H102" s="12">
        <v>3800.37</v>
      </c>
      <c r="I102" s="12">
        <v>-272.86</v>
      </c>
    </row>
    <row r="103" spans="1:9" ht="16.8" customHeight="1">
      <c r="A103" s="1" t="s">
        <v>223</v>
      </c>
      <c r="B103" s="11">
        <v>46052</v>
      </c>
      <c r="C103" s="1" t="s">
        <v>120</v>
      </c>
      <c r="D103" s="1" t="s">
        <v>109</v>
      </c>
      <c r="E103" s="1" t="s">
        <v>136</v>
      </c>
      <c r="F103" s="1" t="s">
        <v>125</v>
      </c>
      <c r="G103" s="12">
        <v>5802.45</v>
      </c>
      <c r="H103" s="12">
        <v>2213.0100000000002</v>
      </c>
      <c r="I103" s="12">
        <v>-3589.44</v>
      </c>
    </row>
    <row r="104" spans="1:9" ht="16.8" customHeight="1">
      <c r="A104" s="1" t="s">
        <v>224</v>
      </c>
      <c r="B104" s="11">
        <v>46064</v>
      </c>
      <c r="C104" s="1" t="s">
        <v>135</v>
      </c>
      <c r="D104" s="1" t="s">
        <v>113</v>
      </c>
      <c r="E104" s="1" t="s">
        <v>114</v>
      </c>
      <c r="F104" s="1" t="s">
        <v>106</v>
      </c>
      <c r="G104" s="12">
        <v>2401.36</v>
      </c>
      <c r="H104" s="12">
        <v>6514.9</v>
      </c>
      <c r="I104" s="12">
        <v>4113.54</v>
      </c>
    </row>
    <row r="105" spans="1:9" ht="16.8" customHeight="1">
      <c r="A105" s="1" t="s">
        <v>225</v>
      </c>
      <c r="B105" s="11">
        <v>46207</v>
      </c>
      <c r="C105" s="1" t="s">
        <v>104</v>
      </c>
      <c r="D105" s="1" t="s">
        <v>121</v>
      </c>
      <c r="E105" s="1" t="s">
        <v>136</v>
      </c>
      <c r="F105" s="1" t="s">
        <v>106</v>
      </c>
      <c r="G105" s="12">
        <v>5005.07</v>
      </c>
      <c r="H105" s="12">
        <v>2850.35</v>
      </c>
      <c r="I105" s="12">
        <v>-2154.7199999999998</v>
      </c>
    </row>
    <row r="106" spans="1:9" ht="16.8" customHeight="1">
      <c r="A106" s="1" t="s">
        <v>226</v>
      </c>
      <c r="B106" s="11">
        <v>46150</v>
      </c>
      <c r="C106" s="1" t="s">
        <v>120</v>
      </c>
      <c r="D106" s="1" t="s">
        <v>157</v>
      </c>
      <c r="E106" s="1" t="s">
        <v>110</v>
      </c>
      <c r="F106" s="1" t="s">
        <v>123</v>
      </c>
      <c r="G106" s="12">
        <v>2954.09</v>
      </c>
      <c r="H106" s="12">
        <v>2210.0100000000002</v>
      </c>
      <c r="I106" s="12">
        <v>-744.08</v>
      </c>
    </row>
    <row r="107" spans="1:9" ht="16.8" customHeight="1">
      <c r="A107" s="1" t="s">
        <v>227</v>
      </c>
      <c r="B107" s="11">
        <v>46190</v>
      </c>
      <c r="C107" s="1" t="s">
        <v>104</v>
      </c>
      <c r="D107" s="1" t="s">
        <v>121</v>
      </c>
      <c r="E107" s="1" t="s">
        <v>154</v>
      </c>
      <c r="F107" s="1" t="s">
        <v>123</v>
      </c>
      <c r="G107" s="12">
        <v>1703.85</v>
      </c>
      <c r="H107" s="12">
        <v>4270.93</v>
      </c>
      <c r="I107" s="12">
        <v>2567.08</v>
      </c>
    </row>
    <row r="108" spans="1:9" ht="16.8" customHeight="1">
      <c r="A108" s="1" t="s">
        <v>228</v>
      </c>
      <c r="B108" s="11">
        <v>46087</v>
      </c>
      <c r="C108" s="1" t="s">
        <v>120</v>
      </c>
      <c r="D108" s="1" t="s">
        <v>113</v>
      </c>
      <c r="E108" s="1" t="s">
        <v>105</v>
      </c>
      <c r="F108" s="1" t="s">
        <v>125</v>
      </c>
      <c r="G108" s="12">
        <v>4378.07</v>
      </c>
      <c r="H108" s="12">
        <v>3700.13</v>
      </c>
      <c r="I108" s="12">
        <v>-677.94</v>
      </c>
    </row>
    <row r="109" spans="1:9" ht="16.8" customHeight="1">
      <c r="A109" s="1" t="s">
        <v>229</v>
      </c>
      <c r="B109" s="11">
        <v>46069</v>
      </c>
      <c r="C109" s="1" t="s">
        <v>104</v>
      </c>
      <c r="D109" s="1" t="s">
        <v>113</v>
      </c>
      <c r="E109" s="1" t="s">
        <v>114</v>
      </c>
      <c r="F109" s="1" t="s">
        <v>123</v>
      </c>
      <c r="G109" s="12">
        <v>533.23</v>
      </c>
      <c r="H109" s="12">
        <v>5085.57</v>
      </c>
      <c r="I109" s="12">
        <v>4552.34</v>
      </c>
    </row>
    <row r="110" spans="1:9" ht="16.8" customHeight="1">
      <c r="A110" s="1" t="s">
        <v>230</v>
      </c>
      <c r="B110" s="11">
        <v>46240</v>
      </c>
      <c r="C110" s="1" t="s">
        <v>118</v>
      </c>
      <c r="D110" s="1" t="s">
        <v>121</v>
      </c>
      <c r="E110" s="1" t="s">
        <v>116</v>
      </c>
      <c r="F110" s="1" t="s">
        <v>125</v>
      </c>
      <c r="G110" s="12">
        <v>4203.84</v>
      </c>
      <c r="H110" s="12">
        <v>4611.49</v>
      </c>
      <c r="I110" s="12">
        <v>407.65</v>
      </c>
    </row>
    <row r="111" spans="1:9" ht="16.8" customHeight="1">
      <c r="A111" s="1" t="s">
        <v>231</v>
      </c>
      <c r="B111" s="11">
        <v>46197</v>
      </c>
      <c r="C111" s="1" t="s">
        <v>112</v>
      </c>
      <c r="D111" s="1" t="s">
        <v>128</v>
      </c>
      <c r="E111" s="1" t="s">
        <v>114</v>
      </c>
      <c r="F111" s="1" t="s">
        <v>125</v>
      </c>
      <c r="G111" s="12">
        <v>4181.22</v>
      </c>
      <c r="H111" s="12">
        <v>5071.1099999999997</v>
      </c>
      <c r="I111" s="12">
        <v>889.89</v>
      </c>
    </row>
    <row r="112" spans="1:9" ht="16.8" customHeight="1">
      <c r="A112" s="1" t="s">
        <v>232</v>
      </c>
      <c r="B112" s="11">
        <v>46179</v>
      </c>
      <c r="C112" s="1" t="s">
        <v>112</v>
      </c>
      <c r="D112" s="1" t="s">
        <v>109</v>
      </c>
      <c r="E112" s="1" t="s">
        <v>136</v>
      </c>
      <c r="F112" s="1" t="s">
        <v>123</v>
      </c>
      <c r="G112" s="12">
        <v>1317.83</v>
      </c>
      <c r="H112" s="12">
        <v>2283.75</v>
      </c>
      <c r="I112" s="12">
        <v>965.92</v>
      </c>
    </row>
    <row r="113" spans="1:9" ht="16.8" customHeight="1">
      <c r="A113" s="1" t="s">
        <v>233</v>
      </c>
      <c r="B113" s="11">
        <v>46106</v>
      </c>
      <c r="C113" s="1" t="s">
        <v>120</v>
      </c>
      <c r="D113" s="1" t="s">
        <v>132</v>
      </c>
      <c r="E113" s="1" t="s">
        <v>136</v>
      </c>
      <c r="F113" s="1" t="s">
        <v>123</v>
      </c>
      <c r="G113" s="12">
        <v>6033.15</v>
      </c>
      <c r="H113" s="12">
        <v>4229.92</v>
      </c>
      <c r="I113" s="12">
        <v>-1803.23</v>
      </c>
    </row>
    <row r="114" spans="1:9" ht="16.8" customHeight="1">
      <c r="A114" s="1" t="s">
        <v>234</v>
      </c>
      <c r="B114" s="11">
        <v>46107</v>
      </c>
      <c r="C114" s="1" t="s">
        <v>112</v>
      </c>
      <c r="D114" s="1" t="s">
        <v>121</v>
      </c>
      <c r="E114" s="1" t="s">
        <v>154</v>
      </c>
      <c r="F114" s="1" t="s">
        <v>123</v>
      </c>
      <c r="G114" s="12">
        <v>4645.47</v>
      </c>
      <c r="H114" s="12">
        <v>6317.02</v>
      </c>
      <c r="I114" s="12">
        <v>1671.55</v>
      </c>
    </row>
    <row r="115" spans="1:9" ht="16.8" customHeight="1">
      <c r="A115" s="1" t="s">
        <v>235</v>
      </c>
      <c r="B115" s="11">
        <v>46062</v>
      </c>
      <c r="C115" s="1" t="s">
        <v>108</v>
      </c>
      <c r="D115" s="1" t="s">
        <v>157</v>
      </c>
      <c r="E115" s="1" t="s">
        <v>136</v>
      </c>
      <c r="F115" s="1" t="s">
        <v>123</v>
      </c>
      <c r="G115" s="12">
        <v>4186</v>
      </c>
      <c r="H115" s="12">
        <v>4836.92</v>
      </c>
      <c r="I115" s="12">
        <v>650.91999999999996</v>
      </c>
    </row>
    <row r="116" spans="1:9" ht="16.8" customHeight="1">
      <c r="A116" s="1" t="s">
        <v>236</v>
      </c>
      <c r="B116" s="11">
        <v>46145</v>
      </c>
      <c r="C116" s="1" t="s">
        <v>108</v>
      </c>
      <c r="D116" s="1" t="s">
        <v>109</v>
      </c>
      <c r="E116" s="1" t="s">
        <v>129</v>
      </c>
      <c r="F116" s="1" t="s">
        <v>125</v>
      </c>
      <c r="G116" s="12">
        <v>1795.65</v>
      </c>
      <c r="H116" s="12">
        <v>4638.7</v>
      </c>
      <c r="I116" s="12">
        <v>2843.05</v>
      </c>
    </row>
    <row r="117" spans="1:9" ht="16.8" customHeight="1">
      <c r="A117" s="1" t="s">
        <v>237</v>
      </c>
      <c r="B117" s="11">
        <v>46114</v>
      </c>
      <c r="C117" s="1" t="s">
        <v>108</v>
      </c>
      <c r="D117" s="1" t="s">
        <v>121</v>
      </c>
      <c r="E117" s="1" t="s">
        <v>122</v>
      </c>
      <c r="F117" s="1" t="s">
        <v>123</v>
      </c>
      <c r="G117" s="12">
        <v>1005.72</v>
      </c>
      <c r="H117" s="12">
        <v>6407.57</v>
      </c>
      <c r="I117" s="12">
        <v>5401.85</v>
      </c>
    </row>
    <row r="118" spans="1:9" ht="16.8" customHeight="1">
      <c r="A118" s="1" t="s">
        <v>238</v>
      </c>
      <c r="B118" s="11">
        <v>46031</v>
      </c>
      <c r="C118" s="1" t="s">
        <v>131</v>
      </c>
      <c r="D118" s="1" t="s">
        <v>121</v>
      </c>
      <c r="E118" s="1" t="s">
        <v>105</v>
      </c>
      <c r="F118" s="1" t="s">
        <v>123</v>
      </c>
      <c r="G118" s="12">
        <v>4065.29</v>
      </c>
      <c r="H118" s="12">
        <v>3016.39</v>
      </c>
      <c r="I118" s="12">
        <v>-1048.9000000000001</v>
      </c>
    </row>
    <row r="119" spans="1:9" ht="16.8" customHeight="1">
      <c r="A119" s="1" t="s">
        <v>239</v>
      </c>
      <c r="B119" s="11">
        <v>46189</v>
      </c>
      <c r="C119" s="1" t="s">
        <v>118</v>
      </c>
      <c r="D119" s="1" t="s">
        <v>109</v>
      </c>
      <c r="E119" s="1" t="s">
        <v>136</v>
      </c>
      <c r="F119" s="1" t="s">
        <v>106</v>
      </c>
      <c r="G119" s="12">
        <v>4261.9799999999996</v>
      </c>
      <c r="H119" s="12">
        <v>1596.08</v>
      </c>
      <c r="I119" s="12">
        <v>-2665.9</v>
      </c>
    </row>
    <row r="120" spans="1:9" ht="16.8" customHeight="1">
      <c r="A120" s="1" t="s">
        <v>240</v>
      </c>
      <c r="B120" s="11">
        <v>46163</v>
      </c>
      <c r="C120" s="1" t="s">
        <v>135</v>
      </c>
      <c r="D120" s="1" t="s">
        <v>109</v>
      </c>
      <c r="E120" s="1" t="s">
        <v>105</v>
      </c>
      <c r="F120" s="1" t="s">
        <v>125</v>
      </c>
      <c r="G120" s="12">
        <v>4988.87</v>
      </c>
      <c r="H120" s="12">
        <v>2816.21</v>
      </c>
      <c r="I120" s="12">
        <v>-2172.66</v>
      </c>
    </row>
    <row r="121" spans="1:9" ht="16.8" customHeight="1">
      <c r="A121" s="1" t="s">
        <v>241</v>
      </c>
      <c r="B121" s="11">
        <v>46263</v>
      </c>
      <c r="C121" s="1" t="s">
        <v>120</v>
      </c>
      <c r="D121" s="1" t="s">
        <v>121</v>
      </c>
      <c r="E121" s="1" t="s">
        <v>129</v>
      </c>
      <c r="F121" s="1" t="s">
        <v>106</v>
      </c>
      <c r="G121" s="12">
        <v>1602.41</v>
      </c>
      <c r="H121" s="12">
        <v>6366.71</v>
      </c>
      <c r="I121" s="12">
        <v>4764.3</v>
      </c>
    </row>
    <row r="122" spans="1:9" ht="16.8" customHeight="1">
      <c r="A122" s="1" t="s">
        <v>242</v>
      </c>
      <c r="B122" s="11">
        <v>46140</v>
      </c>
      <c r="C122" s="1" t="s">
        <v>140</v>
      </c>
      <c r="D122" s="1" t="s">
        <v>157</v>
      </c>
      <c r="E122" s="1" t="s">
        <v>114</v>
      </c>
      <c r="F122" s="1" t="s">
        <v>123</v>
      </c>
      <c r="G122" s="12">
        <v>6015.02</v>
      </c>
      <c r="H122" s="12">
        <v>5225.05</v>
      </c>
      <c r="I122" s="12">
        <v>-789.97</v>
      </c>
    </row>
    <row r="123" spans="1:9" ht="16.8" customHeight="1">
      <c r="A123" s="1" t="s">
        <v>243</v>
      </c>
      <c r="B123" s="11">
        <v>46048</v>
      </c>
      <c r="C123" s="1" t="s">
        <v>135</v>
      </c>
      <c r="D123" s="1" t="s">
        <v>109</v>
      </c>
      <c r="E123" s="1" t="s">
        <v>110</v>
      </c>
      <c r="F123" s="1" t="s">
        <v>106</v>
      </c>
      <c r="G123" s="12">
        <v>1585.51</v>
      </c>
      <c r="H123" s="12">
        <v>3275.31</v>
      </c>
      <c r="I123" s="12">
        <v>1689.8</v>
      </c>
    </row>
    <row r="124" spans="1:9" ht="16.8" customHeight="1">
      <c r="A124" s="1" t="s">
        <v>244</v>
      </c>
      <c r="B124" s="11">
        <v>46084</v>
      </c>
      <c r="C124" s="1" t="s">
        <v>104</v>
      </c>
      <c r="D124" s="1" t="s">
        <v>157</v>
      </c>
      <c r="E124" s="1" t="s">
        <v>114</v>
      </c>
      <c r="F124" s="1" t="s">
        <v>125</v>
      </c>
      <c r="G124" s="12">
        <v>880.03</v>
      </c>
      <c r="H124" s="12">
        <v>5407.78</v>
      </c>
      <c r="I124" s="12">
        <v>4527.75</v>
      </c>
    </row>
    <row r="125" spans="1:9" ht="16.8" customHeight="1">
      <c r="A125" s="1" t="s">
        <v>245</v>
      </c>
      <c r="B125" s="11">
        <v>46144</v>
      </c>
      <c r="C125" s="1" t="s">
        <v>140</v>
      </c>
      <c r="D125" s="1" t="s">
        <v>121</v>
      </c>
      <c r="E125" s="1" t="s">
        <v>122</v>
      </c>
      <c r="F125" s="1" t="s">
        <v>106</v>
      </c>
      <c r="G125" s="12">
        <v>1418.1</v>
      </c>
      <c r="H125" s="12">
        <v>5752.99</v>
      </c>
      <c r="I125" s="12">
        <v>4334.8900000000003</v>
      </c>
    </row>
    <row r="126" spans="1:9" ht="16.8" customHeight="1">
      <c r="A126" s="1" t="s">
        <v>246</v>
      </c>
      <c r="B126" s="11">
        <v>46220</v>
      </c>
      <c r="C126" s="1" t="s">
        <v>131</v>
      </c>
      <c r="D126" s="1" t="s">
        <v>132</v>
      </c>
      <c r="E126" s="1" t="s">
        <v>116</v>
      </c>
      <c r="F126" s="1" t="s">
        <v>123</v>
      </c>
      <c r="G126" s="12">
        <v>2850.12</v>
      </c>
      <c r="H126" s="12">
        <v>2750.2</v>
      </c>
      <c r="I126" s="12">
        <v>-99.92</v>
      </c>
    </row>
    <row r="127" spans="1:9" ht="16.8" customHeight="1">
      <c r="A127" s="1" t="s">
        <v>247</v>
      </c>
      <c r="B127" s="11">
        <v>46200</v>
      </c>
      <c r="C127" s="1" t="s">
        <v>131</v>
      </c>
      <c r="D127" s="1" t="s">
        <v>113</v>
      </c>
      <c r="E127" s="1" t="s">
        <v>129</v>
      </c>
      <c r="F127" s="1" t="s">
        <v>123</v>
      </c>
      <c r="G127" s="12">
        <v>2085.3000000000002</v>
      </c>
      <c r="H127" s="12">
        <v>2920.93</v>
      </c>
      <c r="I127" s="12">
        <v>835.63</v>
      </c>
    </row>
    <row r="128" spans="1:9" ht="16.8" customHeight="1">
      <c r="A128" s="1" t="s">
        <v>248</v>
      </c>
      <c r="B128" s="11">
        <v>46038</v>
      </c>
      <c r="C128" s="1" t="s">
        <v>104</v>
      </c>
      <c r="D128" s="1" t="s">
        <v>150</v>
      </c>
      <c r="E128" s="1" t="s">
        <v>114</v>
      </c>
      <c r="F128" s="1" t="s">
        <v>125</v>
      </c>
      <c r="G128" s="12">
        <v>4934.93</v>
      </c>
      <c r="H128" s="12">
        <v>5129.84</v>
      </c>
      <c r="I128" s="12">
        <v>194.91</v>
      </c>
    </row>
    <row r="129" spans="1:9" ht="16.8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6.8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6.8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6.8" customHeight="1">
      <c r="A132" s="1"/>
      <c r="B132" s="1"/>
      <c r="C132" s="1"/>
      <c r="D132" s="1"/>
      <c r="E132" s="1"/>
      <c r="F132" s="1"/>
      <c r="G132" s="1"/>
      <c r="H132" s="1"/>
      <c r="I132" s="1"/>
    </row>
  </sheetData>
  <mergeCells count="3">
    <mergeCell ref="A1:I2"/>
    <mergeCell ref="A3:I3"/>
    <mergeCell ref="A5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00_COVER</vt:lpstr>
      <vt:lpstr>01_MANUAL_VS_ONE_CLICK</vt:lpstr>
      <vt:lpstr>02_RECORD_WITH_ME</vt:lpstr>
      <vt:lpstr>03_YOUR_PRACTICE</vt:lpstr>
      <vt:lpstr>04_PROTECT_THE_FILE</vt:lpstr>
      <vt:lpstr>06_PRACTICE_DATA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 Academy</cp:lastModifiedBy>
  <dcterms:modified xsi:type="dcterms:W3CDTF">2026-09-10T05:55:46Z</dcterms:modified>
</cp:coreProperties>
</file>