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070647e93347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COVER" sheetId="1" r:id="R3c6a25121d0c4922"/>
    <x:sheet xmlns:r="http://schemas.openxmlformats.org/officeDocument/2006/relationships" name="01_MANUAL_VS_ONE_CLICK" sheetId="2" r:id="R316a984e10e240ee"/>
    <x:sheet xmlns:r="http://schemas.openxmlformats.org/officeDocument/2006/relationships" name="02_RECORD_WITH_ME" sheetId="3" r:id="R0508bd6320614dfb"/>
    <x:sheet xmlns:r="http://schemas.openxmlformats.org/officeDocument/2006/relationships" name="03_YOUR_PRACTICE" sheetId="4" r:id="Rdb88097c2818454a"/>
    <x:sheet xmlns:r="http://schemas.openxmlformats.org/officeDocument/2006/relationships" name="04_PROTECT_THE_FILE" sheetId="5" r:id="R422b22ed7eb14ad9"/>
    <x:sheet xmlns:r="http://schemas.openxmlformats.org/officeDocument/2006/relationships" name="05_TRAINER_FLOW" sheetId="6" r:id="Ra7a5fadae01442ab"/>
    <x:sheet xmlns:r="http://schemas.openxmlformats.org/officeDocument/2006/relationships" name="06_PRACTICE_DATA" sheetId="7" r:id="R4a4b4f83cca24ee5"/>
    <x:sheet xmlns:r="http://schemas.openxmlformats.org/officeDocument/2006/relationships" name="07_TRAINER_ONLY" sheetId="8" r:id="Rd5190aa7382343a6"/>
    <x:sheet xmlns:r="http://schemas.openxmlformats.org/officeDocument/2006/relationships" name="08_ARCHIVE" sheetId="9" r:id="R6b0b841e3b89485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.0%"/>
    <x:numFmt numFmtId="202" formatCode="dd-mmm-yyyy"/>
  </x:numFmts>
  <x:fonts count="25">
    <x:font>
      <x:sz val="11"/>
      <x:name val="Carlito"/>
    </x:font>
    <x:font>
      <x:sz val="10"/>
      <x:color rgb="FF25313B"/>
      <x:name val="Aptos"/>
    </x:font>
    <x:font>
      <x:b/>
      <x:sz val="21"/>
      <x:color rgb="FFFFFFFF"/>
      <x:name val="Aptos"/>
    </x:font>
    <x:font>
      <x:b/>
      <x:sz val="10"/>
      <x:color rgb="FFFF7900"/>
      <x:name val="Arial"/>
    </x:font>
    <x:font>
      <x:b/>
      <x:sz val="11"/>
      <x:color rgb="FF147EEA"/>
      <x:name val="Aptos"/>
    </x:font>
    <x:font>
      <x:b/>
      <x:sz val="11"/>
      <x:color rgb="FFFF7900"/>
      <x:name val="Aptos"/>
    </x:font>
    <x:font>
      <x:b/>
      <x:sz val="11"/>
      <x:color rgb="FF50BE87"/>
      <x:name val="Aptos"/>
    </x:font>
    <x:font>
      <x:b/>
      <x:sz val="11"/>
      <x:color rgb="FFFFFFFF"/>
      <x:name val="Aptos"/>
    </x:font>
    <x:font>
      <x:b/>
      <x:sz val="17"/>
      <x:color rgb="FFFFFFFF"/>
      <x:name val="Aptos"/>
    </x:font>
    <x:font>
      <x:b/>
      <x:sz val="10"/>
      <x:color rgb="FF147EEA"/>
      <x:name val="Aptos"/>
    </x:font>
    <x:font>
      <x:b/>
      <x:sz val="9"/>
      <x:color rgb="FFFFFFFF"/>
      <x:name val="Aptos"/>
    </x:font>
    <x:font>
      <x:sz val="9"/>
      <x:color rgb="FF25313B"/>
      <x:name val="Aptos"/>
    </x:font>
    <x:font>
      <x:b/>
      <x:sz val="10"/>
      <x:color rgb="FFFFFFFF"/>
      <x:name val="Aptos"/>
    </x:font>
    <x:font>
      <x:b/>
      <x:sz val="13"/>
      <x:color rgb="FFFF7900"/>
      <x:name val="Arial"/>
    </x:font>
    <x:font>
      <x:b/>
      <x:sz val="10"/>
      <x:color rgb="FF50BE87"/>
      <x:name val="Arial"/>
    </x:font>
    <x:font>
      <x:b/>
      <x:sz val="9"/>
      <x:color rgb="FF25313B"/>
      <x:name val="Arial"/>
    </x:font>
    <x:font>
      <x:b/>
      <x:sz val="13"/>
      <x:color rgb="FFFFFFFF"/>
      <x:name val="Aptos"/>
    </x:font>
    <x:font>
      <x:b/>
      <x:sz val="12"/>
      <x:color rgb="FF50BE87"/>
      <x:name val="Aptos"/>
    </x:font>
    <x:font>
      <x:b/>
      <x:sz val="10"/>
      <x:color rgb="FFFF7900"/>
      <x:name val="Aptos"/>
    </x:font>
    <x:font>
      <x:b/>
      <x:sz val="9"/>
      <x:color rgb="FF147EEA"/>
      <x:name val="Aptos"/>
    </x:font>
    <x:font>
      <x:b/>
      <x:sz val="8"/>
      <x:color rgb="FF25313B"/>
      <x:name val="Arial"/>
    </x:font>
    <x:font>
      <x:b/>
      <x:sz val="16"/>
      <x:color rgb="FFFFFFFF"/>
      <x:name val="Aptos"/>
    </x:font>
    <x:font>
      <x:b/>
      <x:sz val="14"/>
      <x:color rgb="FFFFFFFF"/>
      <x:name val="Aptos"/>
    </x:font>
    <x:font>
      <x:b/>
      <x:sz val="10"/>
      <x:color rgb="FF6B7782"/>
      <x:name val="Aptos"/>
    </x:font>
    <x:font>
      <x:sz val="8"/>
      <x:color rgb="FF25313B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374550"/>
      </x:patternFill>
    </x:fill>
    <x:fill>
      <x:patternFill patternType="solid">
        <x:fgColor rgb="FFFFF3E8"/>
      </x:patternFill>
    </x:fill>
    <x:fill>
      <x:patternFill patternType="solid">
        <x:fgColor rgb="FFEEF6FE"/>
      </x:patternFill>
    </x:fill>
    <x:fill>
      <x:patternFill patternType="solid">
        <x:fgColor rgb="FFEAF8F1"/>
      </x:patternFill>
    </x:fill>
    <x:fill>
      <x:patternFill patternType="solid">
        <x:fgColor rgb="FFFFF7CC"/>
      </x:patternFill>
    </x:fill>
    <x:fill>
      <x:patternFill patternType="solid">
        <x:fgColor rgb="FFFF7900"/>
      </x:patternFill>
    </x:fill>
    <x:fill>
      <x:patternFill patternType="solid">
        <x:fgColor rgb="FFFAFBFC"/>
      </x:patternFill>
    </x:fill>
  </x:fills>
  <x:borders count="2">
    <x:border/>
    <x:border/>
  </x:borders>
  <x:cellStyleXfs count="1">
    <x:xf numFmtId="0" fontId="0" fillId="0" borderId="0"/>
  </x:cellStyleXfs>
  <x:cellXfs count="1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1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horizontal="right" vertical="center" wrapText="1"/>
    </x:xf>
    <x:xf numFmtId="0" fontId="1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right"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5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5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horizontal="center" vertical="center" wrapText="1"/>
    </x:xf>
    <x:xf numFmtId="0" fontId="1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 wrapText="1"/>
    </x:xf>
    <x:xf numFmtId="0" fontId="6" fillId="6" borderId="1" xfId="0" applyNumberFormat="1" applyFont="1" applyFill="1" applyBorder="1" applyAlignment="1">
      <x:alignment horizontal="center" vertical="center" wrapText="1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7" fillId="3" borderId="1" xfId="0" applyNumberFormat="1" applyFont="1" applyFill="1" applyBorder="1" applyAlignment="1">
      <x:alignment vertical="center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0" fontId="8" fillId="3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horizontal="left" vertical="center" wrapText="1"/>
    </x:xf>
    <x:xf numFmtId="0" fontId="8" fillId="3" borderId="1" xfId="0" applyNumberFormat="1" applyFont="1" applyFill="1" applyBorder="1" applyAlignment="1">
      <x:alignment vertical="center"/>
    </x:xf>
    <x:xf numFmtId="0" fontId="8" fillId="3" borderId="1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 applyAlignment="1">
      <x:alignment horizontal="left" vertical="center" wrapText="1"/>
    </x:xf>
    <x:xf numFmtId="0" fontId="9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horizontal="center" vertical="center" wrapText="1"/>
    </x:xf>
    <x:xf numFmtId="0" fontId="9" fillId="5" borderId="1" xfId="0" applyNumberFormat="1" applyFont="1" applyFill="1" applyBorder="1" applyAlignment="1">
      <x:alignment vertical="center"/>
    </x:xf>
    <x:xf numFmtId="0" fontId="9" fillId="5" borderId="1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horizontal="center" vertical="center" wrapText="1"/>
    </x:xf>
    <x:xf numFmtId="0" fontId="10" fillId="3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 wrapText="1"/>
    </x:xf>
    <x:xf numFmtId="0" fontId="10" fillId="3" borderId="0" xfId="0" applyNumberFormat="1" applyFont="1" applyFill="1" applyBorder="1" applyAlignment="1">
      <x:alignment horizontal="center" vertical="center" wrapText="1"/>
    </x:xf>
    <x:xf numFmtId="0" fontId="10" fillId="3" borderId="1" xfId="0" applyNumberFormat="1" applyFont="1" applyFill="1" applyBorder="1" applyAlignment="1">
      <x:alignment vertical="center"/>
    </x:xf>
    <x:xf numFmtId="0" fontId="10" fillId="3" borderId="1" xfId="0" applyNumberFormat="1" applyFont="1" applyFill="1" applyBorder="1" applyAlignment="1">
      <x:alignment vertical="center" wrapText="1"/>
    </x:xf>
    <x:xf numFmtId="0" fontId="10" fillId="3" borderId="1" xfId="0" applyNumberFormat="1" applyFont="1" applyFill="1" applyBorder="1" applyAlignment="1">
      <x:alignment horizontal="center" vertical="center" wrapText="1"/>
    </x:xf>
    <x:xf numFmtId="0" fontId="11" fillId="2" borderId="0" xfId="0" applyNumberFormat="1" applyFont="1" applyFill="1" applyBorder="1" applyAlignment="1">
      <x:alignment vertical="center"/>
    </x:xf>
    <x:xf numFmtId="0" fontId="11" fillId="2" borderId="0" xfId="0" applyNumberFormat="1" applyFont="1" applyFill="1" applyBorder="1" applyAlignment="1">
      <x:alignment vertical="center" wrapText="1"/>
    </x:xf>
    <x:xf numFmtId="0" fontId="11" fillId="2" borderId="1" xfId="0" applyNumberFormat="1" applyFont="1" applyFill="1" applyBorder="1" applyAlignment="1">
      <x:alignment vertical="center"/>
    </x:xf>
    <x:xf numFmtId="0" fontId="11" fillId="2" borderId="1" xfId="0" applyNumberFormat="1" applyFont="1" applyFill="1" applyBorder="1" applyAlignment="1">
      <x:alignment vertical="center" wrapText="1"/>
    </x:xf>
    <x:xf numFmtId="0" fontId="11" fillId="3" borderId="0" xfId="0" applyNumberFormat="1" applyFont="1" applyFill="1" applyBorder="1" applyAlignment="1">
      <x:alignment vertical="center" wrapText="1"/>
    </x:xf>
    <x:xf numFmtId="0" fontId="11" fillId="3" borderId="1" xfId="0" applyNumberFormat="1" applyFont="1" applyFill="1" applyBorder="1" applyAlignment="1">
      <x:alignment vertical="center" wrapText="1"/>
    </x:xf>
    <x:xf numFmtId="0" fontId="12" fillId="3" borderId="0" xfId="0" applyNumberFormat="1" applyFont="1" applyFill="1" applyBorder="1" applyAlignment="1">
      <x:alignment vertical="center" wrapText="1"/>
    </x:xf>
    <x:xf numFmtId="0" fontId="12" fillId="3" borderId="1" xfId="0" applyNumberFormat="1" applyFont="1" applyFill="1" applyBorder="1" applyAlignment="1">
      <x:alignment vertical="center" wrapText="1"/>
    </x:xf>
    <x:xf numFmtId="0" fontId="12" fillId="3" borderId="0" xfId="0" applyNumberFormat="1" applyFont="1" applyFill="1" applyBorder="1" applyAlignment="1">
      <x:alignment horizontal="center" vertical="center" wrapText="1"/>
    </x:xf>
    <x:xf numFmtId="0" fontId="12" fillId="3" borderId="1" xfId="0" applyNumberFormat="1" applyFont="1" applyFill="1" applyBorder="1" applyAlignment="1">
      <x:alignment horizontal="center"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11" fillId="5" borderId="1" xfId="0" applyNumberFormat="1" applyFont="1" applyFill="1" applyBorder="1" applyAlignment="1">
      <x:alignment vertical="center" wrapText="1"/>
    </x:xf>
    <x:xf numFmtId="0" fontId="11" fillId="7" borderId="0" xfId="0" applyNumberFormat="1" applyFont="1" applyFill="1" applyBorder="1" applyAlignment="1">
      <x:alignment vertical="center" wrapText="1"/>
    </x:xf>
    <x:xf numFmtId="0" fontId="11" fillId="7" borderId="1" xfId="0" applyNumberFormat="1" applyFont="1" applyFill="1" applyBorder="1" applyAlignment="1">
      <x:alignment vertical="center" wrapText="1"/>
    </x:xf>
    <x:xf numFmtId="0" fontId="13" fillId="4" borderId="0" xfId="0" applyNumberFormat="1" applyFont="1" applyFill="1" applyBorder="1" applyAlignment="1">
      <x:alignment vertical="center"/>
    </x:xf>
    <x:xf numFmtId="0" fontId="13" fillId="4" borderId="0" xfId="0" applyNumberFormat="1" applyFont="1" applyFill="1" applyBorder="1" applyAlignment="1">
      <x:alignment vertical="center" wrapText="1"/>
    </x:xf>
    <x:xf numFmtId="0" fontId="13" fillId="4" borderId="0" xfId="0" applyNumberFormat="1" applyFont="1" applyFill="1" applyBorder="1" applyAlignment="1">
      <x:alignment horizontal="center" vertical="center" wrapText="1"/>
    </x:xf>
    <x:xf numFmtId="0" fontId="13" fillId="4" borderId="1" xfId="0" applyNumberFormat="1" applyFont="1" applyFill="1" applyBorder="1" applyAlignment="1">
      <x:alignment vertical="center"/>
    </x:xf>
    <x:xf numFmtId="0" fontId="13" fillId="4" borderId="1" xfId="0" applyNumberFormat="1" applyFont="1" applyFill="1" applyBorder="1" applyAlignment="1">
      <x:alignment vertical="center" wrapText="1"/>
    </x:xf>
    <x:xf numFmtId="0" fontId="13" fillId="4" borderId="1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vertical="center"/>
    </x:xf>
    <x:xf numFmtId="0" fontId="14" fillId="6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horizontal="right" vertical="center" wrapText="1"/>
    </x:xf>
    <x:xf numFmtId="0" fontId="14" fillId="6" borderId="1" xfId="0" applyNumberFormat="1" applyFont="1" applyFill="1" applyBorder="1" applyAlignment="1">
      <x:alignment vertical="center"/>
    </x:xf>
    <x:xf numFmtId="0" fontId="14" fillId="6" borderId="1" xfId="0" applyNumberFormat="1" applyFont="1" applyFill="1" applyBorder="1" applyAlignment="1">
      <x:alignment vertical="center" wrapText="1"/>
    </x:xf>
    <x:xf numFmtId="0" fontId="14" fillId="6" borderId="1" xfId="0" applyNumberFormat="1" applyFont="1" applyFill="1" applyBorder="1" applyAlignment="1">
      <x:alignment horizontal="right"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5" fillId="4" borderId="0" xfId="0" applyNumberFormat="1" applyFont="1" applyFill="1" applyBorder="1" applyAlignment="1">
      <x:alignment vertical="center" wrapText="1"/>
    </x:xf>
    <x:xf numFmtId="0" fontId="15" fillId="4" borderId="0" xfId="0" applyNumberFormat="1" applyFont="1" applyFill="1" applyBorder="1" applyAlignment="1">
      <x:alignment horizontal="right" vertical="center" wrapText="1"/>
    </x:xf>
    <x:xf numFmtId="0" fontId="11" fillId="4" borderId="1" xfId="0" applyNumberFormat="1" applyFont="1" applyFill="1" applyBorder="1" applyAlignment="1">
      <x:alignment vertical="center" wrapText="1"/>
    </x:xf>
    <x:xf numFmtId="0" fontId="15" fillId="4" borderId="1" xfId="0" applyNumberFormat="1" applyFont="1" applyFill="1" applyBorder="1" applyAlignment="1">
      <x:alignment vertical="center" wrapText="1"/>
    </x:xf>
    <x:xf numFmtId="0" fontId="15" fillId="4" borderId="1" xfId="0" applyNumberFormat="1" applyFont="1" applyFill="1" applyBorder="1" applyAlignment="1">
      <x:alignment horizontal="right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/>
    </x:xf>
    <x:xf numFmtId="0" fontId="16" fillId="8" borderId="0" xfId="0" applyNumberFormat="1" applyFont="1" applyFill="1" applyBorder="1" applyAlignment="1">
      <x:alignment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6" fillId="8" borderId="1" xfId="0" applyNumberFormat="1" applyFont="1" applyFill="1" applyBorder="1" applyAlignment="1">
      <x:alignment vertical="center"/>
    </x:xf>
    <x:xf numFmtId="0" fontId="16" fillId="8" borderId="1" xfId="0" applyNumberFormat="1" applyFont="1" applyFill="1" applyBorder="1" applyAlignment="1">
      <x:alignment vertical="center" wrapText="1"/>
    </x:xf>
    <x:xf numFmtId="0" fontId="16" fillId="8" borderId="1" xfId="0" applyNumberFormat="1" applyFont="1" applyFill="1" applyBorder="1" applyAlignment="1">
      <x:alignment horizontal="center" vertical="center" wrapText="1"/>
    </x:xf>
    <x:xf numFmtId="0" fontId="17" fillId="6" borderId="0" xfId="0" applyNumberFormat="1" applyFont="1" applyFill="1" applyBorder="1" applyAlignment="1">
      <x:alignment vertical="center"/>
    </x:xf>
    <x:xf numFmtId="0" fontId="17" fillId="6" borderId="0" xfId="0" applyNumberFormat="1" applyFont="1" applyFill="1" applyBorder="1" applyAlignment="1">
      <x:alignment vertical="center" wrapText="1"/>
    </x:xf>
    <x:xf numFmtId="0" fontId="17" fillId="6" borderId="0" xfId="0" applyNumberFormat="1" applyFont="1" applyFill="1" applyBorder="1" applyAlignment="1">
      <x:alignment horizontal="center" vertical="center" wrapText="1"/>
    </x:xf>
    <x:xf numFmtId="0" fontId="17" fillId="6" borderId="1" xfId="0" applyNumberFormat="1" applyFont="1" applyFill="1" applyBorder="1" applyAlignment="1">
      <x:alignment vertical="center"/>
    </x:xf>
    <x:xf numFmtId="0" fontId="17" fillId="6" borderId="1" xfId="0" applyNumberFormat="1" applyFont="1" applyFill="1" applyBorder="1" applyAlignment="1">
      <x:alignment vertical="center" wrapText="1"/>
    </x:xf>
    <x:xf numFmtId="0" fontId="17" fillId="6" borderId="1" xfId="0" applyNumberFormat="1" applyFont="1" applyFill="1" applyBorder="1" applyAlignment="1">
      <x:alignment horizontal="center" vertical="center" wrapText="1"/>
    </x:xf>
    <x:xf numFmtId="0" fontId="12" fillId="3" borderId="0" xfId="0" applyNumberFormat="1" applyFont="1" applyFill="1" applyBorder="1" applyAlignment="1">
      <x:alignment vertical="center"/>
    </x:xf>
    <x:xf numFmtId="0" fontId="12" fillId="3" borderId="1" xfId="0" applyNumberFormat="1" applyFont="1" applyFill="1" applyBorder="1" applyAlignment="1">
      <x:alignment vertical="center"/>
    </x:xf>
    <x:xf numFmtId="200" fontId="11" fillId="7" borderId="0" xfId="0" applyNumberFormat="1" applyFont="1" applyFill="1" applyBorder="1" applyAlignment="1">
      <x:alignment vertical="center" wrapText="1"/>
    </x:xf>
    <x:xf numFmtId="200" fontId="11" fillId="7" borderId="1" xfId="0" applyNumberFormat="1" applyFont="1" applyFill="1" applyBorder="1" applyAlignment="1">
      <x:alignment vertical="center" wrapText="1"/>
    </x:xf>
    <x:xf numFmtId="201" fontId="11" fillId="2" borderId="0" xfId="0" applyNumberFormat="1" applyFont="1" applyFill="1" applyBorder="1" applyAlignment="1">
      <x:alignment vertical="center" wrapText="1"/>
    </x:xf>
    <x:xf numFmtId="201" fontId="11" fillId="2" borderId="1" xfId="0" applyNumberFormat="1" applyFont="1" applyFill="1" applyBorder="1" applyAlignment="1">
      <x:alignment vertical="center" wrapText="1"/>
    </x:xf>
    <x:xf numFmtId="201" fontId="11" fillId="6" borderId="0" xfId="0" applyNumberFormat="1" applyFont="1" applyFill="1" applyBorder="1" applyAlignment="1">
      <x:alignment vertical="center" wrapText="1"/>
    </x:xf>
    <x:xf numFmtId="0" fontId="11" fillId="6" borderId="0" xfId="0" applyNumberFormat="1" applyFont="1" applyFill="1" applyBorder="1" applyAlignment="1">
      <x:alignment vertical="center" wrapText="1"/>
    </x:xf>
    <x:xf numFmtId="201" fontId="11" fillId="6" borderId="1" xfId="0" applyNumberFormat="1" applyFont="1" applyFill="1" applyBorder="1" applyAlignment="1">
      <x:alignment vertical="center" wrapText="1"/>
    </x:xf>
    <x:xf numFmtId="0" fontId="11" fillId="6" borderId="1" xfId="0" applyNumberFormat="1" applyFont="1" applyFill="1" applyBorder="1" applyAlignment="1">
      <x:alignment vertical="center" wrapText="1"/>
    </x:xf>
    <x:xf numFmtId="0" fontId="18" fillId="4" borderId="0" xfId="0" applyNumberFormat="1" applyFont="1" applyFill="1" applyBorder="1" applyAlignment="1">
      <x:alignment vertical="center"/>
    </x:xf>
    <x:xf numFmtId="0" fontId="18" fillId="4" borderId="0" xfId="0" applyNumberFormat="1" applyFont="1" applyFill="1" applyBorder="1" applyAlignment="1">
      <x:alignment vertical="center" wrapText="1"/>
    </x:xf>
    <x:xf numFmtId="0" fontId="18" fillId="4" borderId="0" xfId="0" applyNumberFormat="1" applyFont="1" applyFill="1" applyBorder="1" applyAlignment="1">
      <x:alignment horizontal="left" vertical="center" wrapText="1"/>
    </x:xf>
    <x:xf numFmtId="0" fontId="18" fillId="4" borderId="1" xfId="0" applyNumberFormat="1" applyFont="1" applyFill="1" applyBorder="1" applyAlignment="1">
      <x:alignment vertical="center"/>
    </x:xf>
    <x:xf numFmtId="0" fontId="18" fillId="4" borderId="1" xfId="0" applyNumberFormat="1" applyFont="1" applyFill="1" applyBorder="1" applyAlignment="1">
      <x:alignment vertical="center" wrapText="1"/>
    </x:xf>
    <x:xf numFmtId="0" fontId="18" fillId="4" borderId="1" xfId="0" applyNumberFormat="1" applyFont="1" applyFill="1" applyBorder="1" applyAlignment="1">
      <x:alignment horizontal="left" vertical="center" wrapText="1"/>
    </x:xf>
    <x:xf numFmtId="0" fontId="19" fillId="5" borderId="0" xfId="0" applyNumberFormat="1" applyFont="1" applyFill="1" applyBorder="1" applyAlignment="1">
      <x:alignment vertical="center"/>
    </x:xf>
    <x:xf numFmtId="0" fontId="19" fillId="5" borderId="0" xfId="0" applyNumberFormat="1" applyFont="1" applyFill="1" applyBorder="1" applyAlignment="1">
      <x:alignment vertical="center" wrapText="1"/>
    </x:xf>
    <x:xf numFmtId="0" fontId="19" fillId="5" borderId="0" xfId="0" applyNumberFormat="1" applyFont="1" applyFill="1" applyBorder="1" applyAlignment="1">
      <x:alignment horizontal="center" vertical="center" wrapText="1"/>
    </x:xf>
    <x:xf numFmtId="0" fontId="19" fillId="5" borderId="1" xfId="0" applyNumberFormat="1" applyFont="1" applyFill="1" applyBorder="1" applyAlignment="1">
      <x:alignment vertical="center"/>
    </x:xf>
    <x:xf numFmtId="0" fontId="19" fillId="5" borderId="1" xfId="0" applyNumberFormat="1" applyFont="1" applyFill="1" applyBorder="1" applyAlignment="1">
      <x:alignment vertical="center" wrapText="1"/>
    </x:xf>
    <x:xf numFmtId="0" fontId="19" fillId="5" borderId="1" xfId="0" applyNumberFormat="1" applyFont="1" applyFill="1" applyBorder="1" applyAlignment="1">
      <x:alignment horizontal="center" vertical="center" wrapText="1"/>
    </x:xf>
    <x:xf numFmtId="0" fontId="20" fillId="4" borderId="0" xfId="0" applyNumberFormat="1" applyFont="1" applyFill="1" applyBorder="1" applyAlignment="1">
      <x:alignment vertical="center" wrapText="1"/>
    </x:xf>
    <x:xf numFmtId="0" fontId="20" fillId="4" borderId="0" xfId="0" applyNumberFormat="1" applyFont="1" applyFill="1" applyBorder="1" applyAlignment="1">
      <x:alignment horizontal="right" vertical="center" wrapText="1"/>
    </x:xf>
    <x:xf numFmtId="0" fontId="20" fillId="4" borderId="1" xfId="0" applyNumberFormat="1" applyFont="1" applyFill="1" applyBorder="1" applyAlignment="1">
      <x:alignment vertical="center" wrapText="1"/>
    </x:xf>
    <x:xf numFmtId="0" fontId="20" fillId="4" borderId="1" xfId="0" applyNumberFormat="1" applyFont="1" applyFill="1" applyBorder="1" applyAlignment="1">
      <x:alignment horizontal="right" vertical="center" wrapText="1"/>
    </x:xf>
    <x:xf numFmtId="0" fontId="21" fillId="3" borderId="0" xfId="0" applyNumberFormat="1" applyFont="1" applyFill="1" applyBorder="1" applyAlignment="1">
      <x:alignment vertical="center"/>
    </x:xf>
    <x:xf numFmtId="0" fontId="21" fillId="3" borderId="0" xfId="0" applyNumberFormat="1" applyFont="1" applyFill="1" applyBorder="1" applyAlignment="1">
      <x:alignment vertical="center" wrapText="1"/>
    </x:xf>
    <x:xf numFmtId="0" fontId="21" fillId="3" borderId="0" xfId="0" applyNumberFormat="1" applyFont="1" applyFill="1" applyBorder="1" applyAlignment="1">
      <x:alignment horizontal="left" vertical="center" wrapText="1"/>
    </x:xf>
    <x:xf numFmtId="0" fontId="21" fillId="3" borderId="1" xfId="0" applyNumberFormat="1" applyFont="1" applyFill="1" applyBorder="1" applyAlignment="1">
      <x:alignment vertical="center"/>
    </x:xf>
    <x:xf numFmtId="0" fontId="21" fillId="3" borderId="1" xfId="0" applyNumberFormat="1" applyFont="1" applyFill="1" applyBorder="1" applyAlignment="1">
      <x:alignment vertical="center" wrapText="1"/>
    </x:xf>
    <x:xf numFmtId="0" fontId="21" fillId="3" borderId="1" xfId="0" applyNumberFormat="1" applyFont="1" applyFill="1" applyBorder="1" applyAlignment="1">
      <x:alignment horizontal="left" vertical="center" wrapText="1"/>
    </x:xf>
    <x:xf numFmtId="202" fontId="1" fillId="2" borderId="0" xfId="0" applyNumberFormat="1" applyFont="1" applyFill="1" applyBorder="1" applyAlignment="1">
      <x:alignment vertical="center"/>
    </x:xf>
    <x:xf numFmtId="202" fontId="1" fillId="2" borderId="1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2" borderId="1" xfId="0" applyNumberFormat="1" applyFont="1" applyFill="1" applyBorder="1" applyAlignment="1">
      <x:alignment vertical="center"/>
    </x:xf>
    <x:xf numFmtId="0" fontId="18" fillId="4" borderId="0" xfId="0" applyNumberFormat="1" applyFont="1" applyFill="1" applyBorder="1" applyAlignment="1">
      <x:alignment horizontal="center" vertical="center" wrapText="1"/>
    </x:xf>
    <x:xf numFmtId="0" fontId="18" fillId="4" borderId="1" xfId="0" applyNumberFormat="1" applyFont="1" applyFill="1" applyBorder="1" applyAlignment="1">
      <x:alignment horizontal="center" vertical="center" wrapText="1"/>
    </x:xf>
    <x:xf numFmtId="0" fontId="22" fillId="3" borderId="0" xfId="0" applyNumberFormat="1" applyFont="1" applyFill="1" applyBorder="1" applyAlignment="1">
      <x:alignment vertical="center"/>
    </x:xf>
    <x:xf numFmtId="0" fontId="22" fillId="3" borderId="0" xfId="0" applyNumberFormat="1" applyFont="1" applyFill="1" applyBorder="1" applyAlignment="1">
      <x:alignment vertical="center" wrapText="1"/>
    </x:xf>
    <x:xf numFmtId="0" fontId="22" fillId="3" borderId="0" xfId="0" applyNumberFormat="1" applyFont="1" applyFill="1" applyBorder="1" applyAlignment="1">
      <x:alignment horizontal="left" vertical="center" wrapText="1"/>
    </x:xf>
    <x:xf numFmtId="0" fontId="22" fillId="3" borderId="1" xfId="0" applyNumberFormat="1" applyFont="1" applyFill="1" applyBorder="1" applyAlignment="1">
      <x:alignment vertical="center"/>
    </x:xf>
    <x:xf numFmtId="0" fontId="22" fillId="3" borderId="1" xfId="0" applyNumberFormat="1" applyFont="1" applyFill="1" applyBorder="1" applyAlignment="1">
      <x:alignment vertical="center" wrapText="1"/>
    </x:xf>
    <x:xf numFmtId="0" fontId="22" fillId="3" borderId="1" xfId="0" applyNumberFormat="1" applyFont="1" applyFill="1" applyBorder="1" applyAlignment="1">
      <x:alignment horizontal="left" vertical="center" wrapText="1"/>
    </x:xf>
    <x:xf numFmtId="0" fontId="1" fillId="9" borderId="0" xfId="0" applyNumberFormat="1" applyFont="1" applyFill="1" applyBorder="1" applyAlignment="1">
      <x:alignment vertical="center"/>
    </x:xf>
    <x:xf numFmtId="0" fontId="23" fillId="9" borderId="0" xfId="0" applyNumberFormat="1" applyFont="1" applyFill="1" applyBorder="1" applyAlignment="1">
      <x:alignment vertical="center"/>
    </x:xf>
    <x:xf numFmtId="0" fontId="23" fillId="9" borderId="0" xfId="0" applyNumberFormat="1" applyFont="1" applyFill="1" applyBorder="1" applyAlignment="1">
      <x:alignment vertical="center" wrapText="1"/>
    </x:xf>
    <x:xf numFmtId="0" fontId="23" fillId="9" borderId="0" xfId="0" applyNumberFormat="1" applyFont="1" applyFill="1" applyBorder="1" applyAlignment="1">
      <x:alignment horizontal="center" vertical="center" wrapText="1"/>
    </x:xf>
    <x:xf numFmtId="0" fontId="1" fillId="9" borderId="1" xfId="0" applyNumberFormat="1" applyFont="1" applyFill="1" applyBorder="1" applyAlignment="1">
      <x:alignment vertical="center"/>
    </x:xf>
    <x:xf numFmtId="0" fontId="23" fillId="9" borderId="1" xfId="0" applyNumberFormat="1" applyFont="1" applyFill="1" applyBorder="1" applyAlignment="1">
      <x:alignment vertical="center"/>
    </x:xf>
    <x:xf numFmtId="0" fontId="23" fillId="9" borderId="1" xfId="0" applyNumberFormat="1" applyFont="1" applyFill="1" applyBorder="1" applyAlignment="1">
      <x:alignment vertical="center" wrapText="1"/>
    </x:xf>
    <x:xf numFmtId="0" fontId="23" fillId="9" borderId="1" xfId="0" applyNumberFormat="1" applyFont="1" applyFill="1" applyBorder="1" applyAlignment="1">
      <x:alignment horizontal="center" vertical="center" wrapText="1"/>
    </x:xf>
    <x:xf numFmtId="0" fontId="11" fillId="2" borderId="0" xfId="0" applyNumberFormat="1" applyFont="1" applyFill="1" applyBorder="1" applyAlignment="1">
      <x:alignment horizontal="center" vertical="center" wrapText="1"/>
    </x:xf>
    <x:xf numFmtId="0" fontId="11" fillId="2" borderId="1" xfId="0" applyNumberFormat="1" applyFont="1" applyFill="1" applyBorder="1" applyAlignment="1">
      <x:alignment horizontal="center" vertical="center" wrapText="1"/>
    </x:xf>
    <x:xf numFmtId="0" fontId="24" fillId="2" borderId="0" xfId="0" applyNumberFormat="1" applyFont="1" applyFill="1" applyBorder="1" applyAlignment="1">
      <x:alignment horizontal="center" vertical="center" wrapText="1"/>
    </x:xf>
    <x:xf numFmtId="0" fontId="24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94d383f55b4353" /><Relationship Type="http://schemas.openxmlformats.org/officeDocument/2006/relationships/theme" Target="/xl/theme/theme1.xml" Id="Rc4a0a0e83b784cd8" /><Relationship Type="http://schemas.openxmlformats.org/officeDocument/2006/relationships/sharedStrings" Target="/xl/sharedStrings.xml" Id="R772ceb622b5f4998" /><Relationship Type="http://schemas.openxmlformats.org/officeDocument/2006/relationships/worksheet" Target="/xl/worksheets/sheet1.xml" Id="R3c6a25121d0c4922" /><Relationship Type="http://schemas.openxmlformats.org/officeDocument/2006/relationships/worksheet" Target="/xl/worksheets/sheet2.xml" Id="R316a984e10e240ee" /><Relationship Type="http://schemas.openxmlformats.org/officeDocument/2006/relationships/worksheet" Target="/xl/worksheets/sheet3.xml" Id="R0508bd6320614dfb" /><Relationship Type="http://schemas.openxmlformats.org/officeDocument/2006/relationships/worksheet" Target="/xl/worksheets/sheet4.xml" Id="Rdb88097c2818454a" /><Relationship Type="http://schemas.openxmlformats.org/officeDocument/2006/relationships/worksheet" Target="/xl/worksheets/sheet5.xml" Id="R422b22ed7eb14ad9" /><Relationship Type="http://schemas.openxmlformats.org/officeDocument/2006/relationships/worksheet" Target="/xl/worksheets/sheet6.xml" Id="Ra7a5fadae01442ab" /><Relationship Type="http://schemas.openxmlformats.org/officeDocument/2006/relationships/worksheet" Target="/xl/worksheets/sheet7.xml" Id="R4a4b4f83cca24ee5" /><Relationship Type="http://schemas.openxmlformats.org/officeDocument/2006/relationships/worksheet" Target="/xl/worksheets/sheet8.xml" Id="Rd5190aa7382343a6" /><Relationship Type="http://schemas.openxmlformats.org/officeDocument/2006/relationships/worksheet" Target="/xl/worksheets/sheet9.xml" Id="R6b0b841e3b8948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e3ff9a3510842d6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1</xdr:row>
      <xdr:rowOff>0</xdr:rowOff>
    </xdr:from>
    <xdr:ext cx="1428750" cy="666750"/>
    <xdr:pic>
      <xdr:nvPicPr>
        <xdr:cNvPr id="1" name="0300f28c-7852-4483-aa8d-0a5a0544bbf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3ff9a3510842d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ecd5ab001fa4651" /></Relationships>
</file>

<file path=xl/worksheets/sheet1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5" hidden="0" customWidth="1"/>
  </x:cols>
  <x:sheetData>
    <x:row r="1" ht="21" customHeight="1">
      <x:c r="A1" s="6"/>
      <x:c r="B1" s="6"/>
      <x:c r="C1" s="6"/>
      <x:c r="D1" s="6"/>
      <x:c r="E1" s="6"/>
      <x:c r="F1" s="6"/>
      <x:c r="G1" s="6"/>
      <x:c r="H1" s="6"/>
      <x:c r="I1" s="6"/>
      <x:c r="J1" s="6"/>
      <x:c r="K1" s="6"/>
    </x:row>
    <x:row r="2" ht="21" customHeight="1">
      <x:c r="A2" s="6"/>
      <x:c r="B2" s="6"/>
      <x:c r="C2" s="6"/>
      <x:c r="D2" s="6"/>
      <x:c r="E2" s="6"/>
      <x:c r="F2" s="6"/>
      <x:c r="G2" s="6"/>
      <x:c r="H2" s="6"/>
      <x:c r="I2" s="6"/>
      <x:c r="J2" s="6"/>
      <x:c r="K2" s="6"/>
    </x:row>
    <x:row r="3" ht="21" customHeight="1">
      <x:c r="A3" s="6"/>
      <x:c r="B3" s="6"/>
      <x:c r="C3" s="6"/>
      <x:c r="D3" s="6"/>
      <x:c r="E3" s="6"/>
      <x:c r="F3" s="6"/>
      <x:c r="G3" s="6"/>
      <x:c r="H3" s="6"/>
      <x:c r="I3" s="6"/>
      <x:c r="J3" s="6"/>
      <x:c r="K3" s="6"/>
    </x:row>
    <x:row r="4" ht="21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  <x:c r="K4" s="6"/>
    </x:row>
    <x:row r="5" ht="21" customHeight="1">
      <x:c r="A5" s="6"/>
      <x:c r="B5" s="6"/>
      <x:c r="C5" s="6"/>
      <x:c r="D5" s="6"/>
      <x:c r="E5" s="6"/>
      <x:c r="F5" s="6"/>
      <x:c r="G5" s="6"/>
      <x:c r="H5" s="6"/>
      <x:c r="I5" s="6"/>
      <x:c r="J5" s="6"/>
      <x:c r="K5" s="6"/>
    </x:row>
    <x:row r="6" ht="21" customHeight="1">
      <x:c r="A6" s="6"/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1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  <x:c r="K7" s="6"/>
    </x:row>
    <x:row r="8" ht="21" customHeight="1">
      <x:c r="A8" s="6"/>
      <x:c r="B8" s="6"/>
      <x:c r="C8" s="6"/>
      <x:c r="D8" s="6"/>
      <x:c r="E8" s="6"/>
      <x:c r="F8" s="6"/>
      <x:c r="G8" s="6"/>
      <x:c r="H8" s="6"/>
      <x:c r="I8" s="6"/>
      <x:c r="J8" s="6"/>
      <x:c r="K8" s="6"/>
    </x:row>
    <x:row r="9" ht="21" customHeight="1">
      <x:c r="A9" s="6"/>
      <x:c r="B9" s="11" t="str">
        <x:v>MACROS + PROTECTION • FINANCE / BACK OFFICE</x:v>
      </x:c>
      <x:c r="C9" s="11"/>
      <x:c r="D9" s="11"/>
      <x:c r="E9" s="11"/>
      <x:c r="F9" s="11"/>
      <x:c r="G9" s="11"/>
      <x:c r="H9" s="11"/>
      <x:c r="I9" s="11"/>
      <x:c r="J9" s="11"/>
      <x:c r="K9" s="6"/>
    </x:row>
    <x:row r="10" ht="21" customHeight="1">
      <x:c r="A10" s="6"/>
      <x:c r="B10" s="11"/>
      <x:c r="C10" s="11"/>
      <x:c r="D10" s="11"/>
      <x:c r="E10" s="11"/>
      <x:c r="F10" s="11"/>
      <x:c r="G10" s="11"/>
      <x:c r="H10" s="11"/>
      <x:c r="I10" s="11"/>
      <x:c r="J10" s="11"/>
      <x:c r="K10" s="6"/>
    </x:row>
    <x:row r="11" ht="21" customHeight="1">
      <x:c r="A11" s="6"/>
      <x:c r="B11" s="11"/>
      <x:c r="C11" s="11"/>
      <x:c r="D11" s="11"/>
      <x:c r="E11" s="11"/>
      <x:c r="F11" s="11"/>
      <x:c r="G11" s="11"/>
      <x:c r="H11" s="11"/>
      <x:c r="I11" s="11"/>
      <x:c r="J11" s="11"/>
      <x:c r="K11" s="6"/>
    </x:row>
    <x:row r="12" ht="21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</x:row>
    <x:row r="13" ht="21" customHeight="1">
      <x:c r="A13" s="6"/>
      <x:c r="B13" s="19" t="str">
        <x:v>اعمل تقرير الاستثناءات مرة بإيدك • سجله • شغله بزر • احمي المعادلات</x:v>
      </x:c>
      <x:c r="C13" s="19"/>
      <x:c r="D13" s="19"/>
      <x:c r="E13" s="19"/>
      <x:c r="F13" s="19"/>
      <x:c r="G13" s="19"/>
      <x:c r="H13" s="19"/>
      <x:c r="I13" s="19"/>
      <x:c r="J13" s="19"/>
      <x:c r="K13" s="6"/>
    </x:row>
    <x:row r="14" ht="21" customHeight="1">
      <x:c r="A14" s="6"/>
      <x:c r="B14" s="19"/>
      <x:c r="C14" s="19"/>
      <x:c r="D14" s="19"/>
      <x:c r="E14" s="19"/>
      <x:c r="F14" s="19"/>
      <x:c r="G14" s="19"/>
      <x:c r="H14" s="19"/>
      <x:c r="I14" s="19"/>
      <x:c r="J14" s="19"/>
      <x:c r="K14" s="6"/>
    </x:row>
    <x:row r="15" ht="21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</x:row>
    <x:row r="16" ht="21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  <x:c r="K16" s="6"/>
    </x:row>
    <x:row r="17" ht="21" customHeight="1">
      <x:c r="A17" s="6"/>
      <x:c r="B17" s="27" t="str">
        <x:v>DAY 3 • FILE 02 • CODERZ × ORANGE JORDAN</x:v>
      </x:c>
      <x:c r="C17" s="27"/>
      <x:c r="D17" s="27"/>
      <x:c r="E17" s="27"/>
      <x:c r="F17" s="27"/>
      <x:c r="G17" s="27"/>
      <x:c r="H17" s="27"/>
      <x:c r="I17" s="27"/>
      <x:c r="J17" s="27"/>
      <x:c r="K17" s="6"/>
    </x:row>
    <x:row r="18" ht="21" customHeight="1">
      <x:c r="A18" s="6"/>
      <x:c r="B18" s="27"/>
      <x:c r="C18" s="27"/>
      <x:c r="D18" s="27"/>
      <x:c r="E18" s="27"/>
      <x:c r="F18" s="27"/>
      <x:c r="G18" s="27"/>
      <x:c r="H18" s="27"/>
      <x:c r="I18" s="27"/>
      <x:c r="J18" s="27"/>
      <x:c r="K18" s="6"/>
    </x:row>
    <x:row r="19" ht="21" customHeight="1">
      <x:c r="A19" s="6"/>
      <x:c r="B19" s="6"/>
      <x:c r="C19" s="6"/>
      <x:c r="D19" s="6"/>
      <x:c r="E19" s="6"/>
      <x:c r="F19" s="6"/>
      <x:c r="G19" s="6"/>
      <x:c r="H19" s="6"/>
      <x:c r="I19" s="6"/>
      <x:c r="J19" s="6"/>
      <x:c r="K19" s="6"/>
    </x:row>
    <x:row r="20" ht="21" customHeight="1">
      <x:c r="A20" s="6"/>
      <x:c r="B20" s="6"/>
      <x:c r="C20" s="6"/>
      <x:c r="D20" s="6"/>
      <x:c r="E20" s="6"/>
      <x:c r="F20" s="6"/>
      <x:c r="G20" s="6"/>
      <x:c r="H20" s="6"/>
      <x:c r="I20" s="6"/>
      <x:c r="J20" s="6"/>
      <x:c r="K20" s="6"/>
    </x:row>
    <x:row r="21" ht="21" customHeight="1">
      <x:c r="A21" s="6"/>
      <x:c r="B21" s="27" t="str">
        <x:v>1
DO IT MANUALLY</x:v>
      </x:c>
      <x:c r="C21" s="27"/>
      <x:c r="D21" s="27"/>
      <x:c r="E21" s="34" t="str">
        <x:v>2
RECORD IT</x:v>
      </x:c>
      <x:c r="F21" s="34"/>
      <x:c r="G21" s="34"/>
      <x:c r="H21" s="41" t="str">
        <x:v>3
PROTECT IT</x:v>
      </x:c>
      <x:c r="I21" s="41"/>
      <x:c r="J21" s="41"/>
      <x:c r="K21" s="6"/>
    </x:row>
    <x:row r="22" ht="21" customHeight="1">
      <x:c r="A22" s="6"/>
      <x:c r="B22" s="27"/>
      <x:c r="C22" s="27"/>
      <x:c r="D22" s="27"/>
      <x:c r="E22" s="34"/>
      <x:c r="F22" s="34"/>
      <x:c r="G22" s="34"/>
      <x:c r="H22" s="41"/>
      <x:c r="I22" s="41"/>
      <x:c r="J22" s="41"/>
      <x:c r="K22" s="6"/>
    </x:row>
    <x:row r="23" ht="21" customHeight="1">
      <x:c r="A23" s="6"/>
      <x:c r="B23" s="27"/>
      <x:c r="C23" s="27"/>
      <x:c r="D23" s="27"/>
      <x:c r="E23" s="34"/>
      <x:c r="F23" s="34"/>
      <x:c r="G23" s="34"/>
      <x:c r="H23" s="41"/>
      <x:c r="I23" s="41"/>
      <x:c r="J23" s="41"/>
      <x:c r="K23" s="6"/>
    </x:row>
    <x:row r="24" ht="21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  <x:c r="K24" s="6"/>
    </x:row>
    <x:row r="25" ht="21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  <x:c r="K25" s="6"/>
    </x:row>
    <x:row r="26" ht="21" customHeight="1">
      <x:c r="A26" s="6"/>
      <x:c r="B26" s="48" t="str">
        <x:v>Manual Exception Report → Record Macro → Run → Button → Protect</x:v>
      </x:c>
      <x:c r="C26" s="48"/>
      <x:c r="D26" s="48"/>
      <x:c r="E26" s="48"/>
      <x:c r="F26" s="48"/>
      <x:c r="G26" s="48"/>
      <x:c r="H26" s="48"/>
      <x:c r="I26" s="48"/>
      <x:c r="J26" s="48"/>
      <x:c r="K26" s="6"/>
    </x:row>
    <x:row r="27" ht="21" customHeight="1">
      <x:c r="A27" s="6"/>
      <x:c r="B27" s="48"/>
      <x:c r="C27" s="48"/>
      <x:c r="D27" s="48"/>
      <x:c r="E27" s="48"/>
      <x:c r="F27" s="48"/>
      <x:c r="G27" s="48"/>
      <x:c r="H27" s="48"/>
      <x:c r="I27" s="48"/>
      <x:c r="J27" s="48"/>
      <x:c r="K27" s="6"/>
    </x:row>
    <x:row r="28" ht="21" customHeight="1">
      <x:c r="A28" s="6"/>
      <x:c r="B28" s="48"/>
      <x:c r="C28" s="48"/>
      <x:c r="D28" s="48"/>
      <x:c r="E28" s="48"/>
      <x:c r="F28" s="48"/>
      <x:c r="G28" s="48"/>
      <x:c r="H28" s="48"/>
      <x:c r="I28" s="48"/>
      <x:c r="J28" s="48"/>
      <x:c r="K28" s="6"/>
    </x:row>
    <x:row r="29" ht="21" customHeight="1">
      <x:c r="A29" s="6"/>
      <x:c r="B29" s="6"/>
      <x:c r="C29" s="6"/>
      <x:c r="D29" s="6"/>
      <x:c r="E29" s="6"/>
      <x:c r="F29" s="6"/>
      <x:c r="G29" s="6"/>
      <x:c r="H29" s="6"/>
      <x:c r="I29" s="6"/>
      <x:c r="J29" s="6"/>
      <x:c r="K29" s="6"/>
    </x:row>
    <x:row r="30" ht="21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  <x:c r="K30" s="6"/>
    </x:row>
  </x:sheetData>
  <x:mergeCells>
    <x:mergeCell ref="B9:J11"/>
    <x:mergeCell ref="B13:J14"/>
    <x:mergeCell ref="B17:J18"/>
    <x:mergeCell ref="B21:D23"/>
    <x:mergeCell ref="E21:G23"/>
    <x:mergeCell ref="H21:J23"/>
    <x:mergeCell ref="B26:J28"/>
  </x:mergeCells>
  <x:pageMargins left="0.7" right="0.7" top="0.75" bottom="0.75" header="0.3" footer="0.3"/>
  <x:drawing xmlns:r="http://schemas.openxmlformats.org/officeDocument/2006/relationships" r:id="R9ecd5ab001fa4651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1" hidden="0" customWidth="1"/>
    <x:col min="3" max="3" width="33" hidden="0" customWidth="1"/>
    <x:col min="4" max="4" width="12" hidden="0" customWidth="1"/>
    <x:col min="5" max="5" width="4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1" customHeight="1">
      <x:c r="A1" s="54" t="str">
        <x:v>STEP 1 • BUILD THE FINANCE EXCEPTION REPORT MANUALLY</x:v>
      </x:c>
      <x:c r="B1" s="54"/>
      <x:c r="C1" s="54"/>
      <x:c r="D1" s="54"/>
      <x:c r="E1" s="54"/>
      <x:c r="F1" s="54"/>
      <x:c r="G1" s="54"/>
      <x:c r="H1" s="54"/>
      <x:c r="I1" s="54"/>
      <x:c r="J1" s="54"/>
    </x:row>
    <x:row r="2" ht="21" customHeight="1">
      <x:c r="A2" s="54"/>
      <x:c r="B2" s="54"/>
      <x:c r="C2" s="54"/>
      <x:c r="D2" s="54"/>
      <x:c r="E2" s="54"/>
      <x:c r="F2" s="54"/>
      <x:c r="G2" s="54"/>
      <x:c r="H2" s="54"/>
      <x:c r="I2" s="54"/>
      <x:c r="J2" s="54"/>
    </x:row>
    <x:row r="3" ht="21" customHeight="1">
      <x:c r="A3" s="19" t="str">
        <x:v>خليهم يحسوا بتكرار التقرير قبل ما تحكي كلمة Macro</x:v>
      </x:c>
      <x:c r="B3" s="19"/>
      <x:c r="C3" s="19"/>
      <x:c r="D3" s="19"/>
      <x:c r="E3" s="19"/>
      <x:c r="F3" s="19"/>
      <x:c r="G3" s="19"/>
      <x:c r="H3" s="19"/>
      <x:c r="I3" s="19"/>
      <x:c r="J3" s="19"/>
    </x:row>
    <x:row r="4" ht="21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21" customHeight="1">
      <x:c r="A5" s="60" t="str">
        <x:v>YOUR MISSION • Build the finance exception report manually once.</x:v>
      </x:c>
      <x:c r="B5" s="60"/>
      <x:c r="C5" s="60"/>
      <x:c r="D5" s="60"/>
      <x:c r="E5" s="60"/>
      <x:c r="F5" s="60"/>
      <x:c r="G5" s="60"/>
      <x:c r="H5" s="60"/>
      <x:c r="I5" s="60"/>
      <x:c r="J5" s="60"/>
    </x:row>
    <x:row r="6" ht="21" customHeight="1">
      <x:c r="A6" s="60"/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1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</x:row>
    <x:row r="8" ht="21" customHeight="1">
      <x:c r="A8" s="6"/>
      <x:c r="B8" s="6"/>
      <x:c r="C8" s="6"/>
      <x:c r="D8" s="6"/>
      <x:c r="E8" s="6"/>
      <x:c r="F8" s="6"/>
      <x:c r="G8" s="6"/>
      <x:c r="H8" s="6"/>
      <x:c r="I8" s="6"/>
      <x:c r="J8" s="6"/>
    </x:row>
    <x:row r="9" ht="21" customHeight="1">
      <x:c r="A9" s="66" t="str">
        <x:v>#</x:v>
      </x:c>
      <x:c r="B9" s="66" t="str">
        <x:v>MANUAL ACTION</x:v>
      </x:c>
      <x:c r="C9" s="66" t="str">
        <x:v>WHAT YOU DO</x:v>
      </x:c>
      <x:c r="D9" s="66" t="str">
        <x:v>DONE?</x:v>
      </x:c>
      <x:c r="E9" s="6"/>
      <x:c r="F9" s="86" t="str">
        <x:v>THEN ASK
“إذا بعمل تقرير الاستثناءات كل يوم…
ليش أعيد نفس الخطوات؟”</x:v>
      </x:c>
      <x:c r="G9" s="86"/>
      <x:c r="H9" s="86"/>
      <x:c r="I9" s="86"/>
      <x:c r="J9" s="86"/>
    </x:row>
    <x:row r="10" ht="48" customHeight="1">
      <x:c r="A10" s="78" t="n">
        <x:v>1</x:v>
      </x:c>
      <x:c r="B10" s="80" t="str">
        <x:v>Go to Practice Data</x:v>
      </x:c>
      <x:c r="C10" s="71" t="str">
        <x:v>Open 06_PRACTICE_DATA</x:v>
      </x:c>
      <x:c r="D10" s="82" t="str">
        <x:v>No</x:v>
      </x:c>
      <x:c r="E10" s="6"/>
      <x:c r="F10" s="86"/>
      <x:c r="G10" s="86"/>
      <x:c r="H10" s="86"/>
      <x:c r="I10" s="86"/>
      <x:c r="J10" s="86"/>
    </x:row>
    <x:row r="11" ht="48" customHeight="1">
      <x:c r="A11" s="78" t="n">
        <x:v>2</x:v>
      </x:c>
      <x:c r="B11" s="80" t="str">
        <x:v>Filter Approval Status = Pending Approval</x:v>
      </x:c>
      <x:c r="C11" s="71" t="str">
        <x:v>Use normal Filter</x:v>
      </x:c>
      <x:c r="D11" s="82" t="str">
        <x:v>No</x:v>
      </x:c>
      <x:c r="E11" s="6"/>
      <x:c r="F11" s="86"/>
      <x:c r="G11" s="86"/>
      <x:c r="H11" s="86"/>
      <x:c r="I11" s="86"/>
      <x:c r="J11" s="86"/>
    </x:row>
    <x:row r="12" ht="48" customHeight="1">
      <x:c r="A12" s="78" t="n">
        <x:v>3</x:v>
      </x:c>
      <x:c r="B12" s="80" t="str">
        <x:v>Filter Requested Amount &gt; 2,500</x:v>
      </x:c>
      <x:c r="C12" s="71" t="str">
        <x:v>Apply number filter</x:v>
      </x:c>
      <x:c r="D12" s="82" t="str">
        <x:v>No</x:v>
      </x:c>
      <x:c r="E12" s="6"/>
      <x:c r="F12" s="86"/>
      <x:c r="G12" s="86"/>
      <x:c r="H12" s="86"/>
      <x:c r="I12" s="86"/>
      <x:c r="J12" s="86"/>
    </x:row>
    <x:row r="13" ht="48" customHeight="1">
      <x:c r="A13" s="78" t="n">
        <x:v>4</x:v>
      </x:c>
      <x:c r="B13" s="80" t="str">
        <x:v>Filter Variance &lt; 0</x:v>
      </x:c>
      <x:c r="C13" s="71" t="str">
        <x:v>Show requests over available budget</x:v>
      </x:c>
      <x:c r="D13" s="82" t="str">
        <x:v>No</x:v>
      </x:c>
      <x:c r="E13" s="6"/>
      <x:c r="F13" s="86"/>
      <x:c r="G13" s="86"/>
      <x:c r="H13" s="86"/>
      <x:c r="I13" s="86"/>
      <x:c r="J13" s="86"/>
    </x:row>
    <x:row r="14" ht="48" customHeight="1">
      <x:c r="A14" s="78" t="n">
        <x:v>5</x:v>
      </x:c>
      <x:c r="B14" s="80" t="str">
        <x:v>Copy the visible exceptions</x:v>
      </x:c>
      <x:c r="C14" s="71" t="str">
        <x:v>Paste them into your report area</x:v>
      </x:c>
      <x:c r="D14" s="82" t="str">
        <x:v>No</x:v>
      </x:c>
      <x:c r="E14" s="6"/>
      <x:c r="F14" s="86"/>
      <x:c r="G14" s="86"/>
      <x:c r="H14" s="86"/>
      <x:c r="I14" s="86"/>
      <x:c r="J14" s="86"/>
    </x:row>
    <x:row r="15" ht="48" customHeight="1">
      <x:c r="A15" s="78" t="n">
        <x:v>6</x:v>
      </x:c>
      <x:c r="B15" s="80" t="str">
        <x:v>Return to this sheet</x:v>
      </x:c>
      <x:c r="C15" s="71" t="str">
        <x:v>You're done</x:v>
      </x:c>
      <x:c r="D15" s="82" t="str">
        <x:v>No</x:v>
      </x:c>
      <x:c r="E15" s="6"/>
      <x:c r="F15" s="86"/>
      <x:c r="G15" s="86"/>
      <x:c r="H15" s="86"/>
      <x:c r="I15" s="86"/>
      <x:c r="J15" s="86"/>
    </x:row>
    <x:row r="16" ht="21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</x:row>
    <x:row r="17" ht="21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</x:row>
    <x:row r="18" ht="21" customHeight="1">
      <x:c r="A18" s="6"/>
      <x:c r="B18" s="6"/>
      <x:c r="C18" s="6"/>
      <x:c r="D18" s="6"/>
      <x:c r="E18" s="6"/>
      <x:c r="F18" s="6"/>
      <x:c r="G18" s="6"/>
      <x:c r="H18" s="6"/>
      <x:c r="I18" s="6"/>
      <x:c r="J18" s="6"/>
    </x:row>
    <x:row r="19" ht="21" customHeight="1">
      <x:c r="A19" s="48" t="str">
        <x:v>NOW SHOW THE IDEA • Excel can remember these finance-report steps and repeat them.</x:v>
      </x:c>
      <x:c r="B19" s="48"/>
      <x:c r="C19" s="48"/>
      <x:c r="D19" s="48"/>
      <x:c r="E19" s="48"/>
      <x:c r="F19" s="48"/>
      <x:c r="G19" s="48"/>
      <x:c r="H19" s="48"/>
      <x:c r="I19" s="48"/>
      <x:c r="J19" s="48"/>
    </x:row>
    <x:row r="20" ht="21" customHeight="1">
      <x:c r="A20" s="48"/>
      <x:c r="B20" s="48"/>
      <x:c r="C20" s="48"/>
      <x:c r="D20" s="48"/>
      <x:c r="E20" s="48"/>
      <x:c r="F20" s="48"/>
      <x:c r="G20" s="48"/>
      <x:c r="H20" s="48"/>
      <x:c r="I20" s="48"/>
      <x:c r="J20" s="48"/>
    </x:row>
    <x:row r="21" ht="21" customHeight="1">
      <x:c r="A21" s="48"/>
      <x:c r="B21" s="48"/>
      <x:c r="C21" s="48"/>
      <x:c r="D21" s="48"/>
      <x:c r="E21" s="48"/>
      <x:c r="F21" s="48"/>
      <x:c r="G21" s="48"/>
      <x:c r="H21" s="48"/>
      <x:c r="I21" s="48"/>
      <x:c r="J21" s="48"/>
    </x:row>
    <x:row r="22" ht="21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</x:row>
    <x:row r="23" ht="21" customHeight="1">
      <x:c r="A23" s="6"/>
      <x:c r="B23" s="6"/>
      <x:c r="C23" s="6"/>
      <x:c r="D23" s="6"/>
      <x:c r="E23" s="6"/>
      <x:c r="F23" s="6"/>
      <x:c r="G23" s="6"/>
      <x:c r="H23" s="6"/>
      <x:c r="I23" s="6"/>
      <x:c r="J23" s="6"/>
    </x:row>
    <x:row r="24" ht="21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</x:row>
    <x:row r="25" ht="21" customHeight="1">
      <x:c r="A25" s="92" t="str">
        <x:v>هاي الصفحة هدفها Pain فقط. لا تشرح Macro هون.</x:v>
      </x:c>
      <x:c r="B25" s="92"/>
      <x:c r="C25" s="92"/>
      <x:c r="D25" s="92"/>
      <x:c r="E25" s="92"/>
      <x:c r="F25" s="92"/>
      <x:c r="G25" s="92"/>
      <x:c r="H25" s="92"/>
      <x:c r="I25" s="92"/>
      <x:c r="J25" s="92"/>
    </x:row>
    <x:row r="26" ht="21" customHeight="1">
      <x:c r="A26" s="92"/>
      <x:c r="B26" s="92"/>
      <x:c r="C26" s="92"/>
      <x:c r="D26" s="92"/>
      <x:c r="E26" s="92"/>
      <x:c r="F26" s="92"/>
      <x:c r="G26" s="92"/>
      <x:c r="H26" s="92"/>
      <x:c r="I26" s="92"/>
      <x:c r="J26" s="92"/>
    </x:row>
    <x:row r="27" ht="21" customHeight="1">
      <x:c r="A27" s="92"/>
      <x:c r="B27" s="92"/>
      <x:c r="C27" s="92"/>
      <x:c r="D27" s="92"/>
      <x:c r="E27" s="92"/>
      <x:c r="F27" s="92"/>
      <x:c r="G27" s="92"/>
      <x:c r="H27" s="92"/>
      <x:c r="I27" s="92"/>
      <x:c r="J27" s="92"/>
    </x:row>
    <x:row r="28" ht="21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</x:row>
  </x:sheetData>
  <x:mergeCells>
    <x:mergeCell ref="A1:J2"/>
    <x:mergeCell ref="A3:J3"/>
    <x:mergeCell ref="A5:J6"/>
    <x:mergeCell ref="F9:J15"/>
    <x:mergeCell ref="A19:J21"/>
    <x:mergeCell ref="A25:J27"/>
  </x:mergeCells>
  <x:dataValidations count="1">
    <x:dataValidation type="list" sqref="D10:D15">
      <x:formula1>"No,Done"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9" hidden="0" customWidth="1"/>
    <x:col min="3" max="3" width="40" hidden="0" customWidth="1"/>
    <x:col min="4" max="4" width="12" hidden="0" customWidth="1"/>
    <x:col min="5" max="5" width="4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1" customHeight="1">
      <x:c r="A1" s="54" t="str">
        <x:v>STEP 2 • RECORD THE FINANCE REPORT WITH ME</x:v>
      </x:c>
      <x:c r="B1" s="54"/>
      <x:c r="C1" s="54"/>
      <x:c r="D1" s="54"/>
      <x:c r="E1" s="54"/>
      <x:c r="F1" s="54"/>
      <x:c r="G1" s="54"/>
      <x:c r="H1" s="54"/>
      <x:c r="I1" s="54"/>
      <x:c r="J1" s="54"/>
    </x:row>
    <x:row r="2" ht="21" customHeight="1">
      <x:c r="A2" s="54"/>
      <x:c r="B2" s="54"/>
      <x:c r="C2" s="54"/>
      <x:c r="D2" s="54"/>
      <x:c r="E2" s="54"/>
      <x:c r="F2" s="54"/>
      <x:c r="G2" s="54"/>
      <x:c r="H2" s="54"/>
      <x:c r="I2" s="54"/>
      <x:c r="J2" s="54"/>
    </x:row>
    <x:row r="3" ht="21" customHeight="1">
      <x:c r="A3" s="19" t="str">
        <x:v>هون بس امشِ معهم خطوة خطوة</x:v>
      </x:c>
      <x:c r="B3" s="19"/>
      <x:c r="C3" s="19"/>
      <x:c r="D3" s="19"/>
      <x:c r="E3" s="19"/>
      <x:c r="F3" s="19"/>
      <x:c r="G3" s="19"/>
      <x:c r="H3" s="19"/>
      <x:c r="I3" s="19"/>
      <x:c r="J3" s="19"/>
    </x:row>
    <x:row r="4" ht="21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21" customHeight="1">
      <x:c r="A5" s="60" t="str">
        <x:v>YOUR MISSION • Record the same finance exception task you just did manually.</x:v>
      </x:c>
      <x:c r="B5" s="60"/>
      <x:c r="C5" s="60"/>
      <x:c r="D5" s="60"/>
      <x:c r="E5" s="60"/>
      <x:c r="F5" s="60"/>
      <x:c r="G5" s="60"/>
      <x:c r="H5" s="60"/>
      <x:c r="I5" s="60"/>
      <x:c r="J5" s="60"/>
    </x:row>
    <x:row r="6" ht="21" customHeight="1">
      <x:c r="A6" s="60"/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1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</x:row>
    <x:row r="8" ht="21" customHeight="1">
      <x:c r="A8" s="6"/>
      <x:c r="B8" s="6"/>
      <x:c r="C8" s="6"/>
      <x:c r="D8" s="6"/>
      <x:c r="E8" s="6"/>
      <x:c r="F8" s="6"/>
      <x:c r="G8" s="6"/>
      <x:c r="H8" s="6"/>
      <x:c r="I8" s="6"/>
      <x:c r="J8" s="6"/>
    </x:row>
    <x:row r="9" ht="21" customHeight="1">
      <x:c r="A9" s="66" t="str">
        <x:v>STEP</x:v>
      </x:c>
      <x:c r="B9" s="66" t="str">
        <x:v>YOU DO</x:v>
      </x:c>
      <x:c r="C9" s="66" t="str">
        <x:v>WHAT I SAY</x:v>
      </x:c>
      <x:c r="D9" s="66" t="str">
        <x:v>DONE?</x:v>
      </x:c>
      <x:c r="E9" s="6"/>
      <x:c r="F9" s="105" t="str">
        <x:v>BUTTON TEXT
GENERATE FINANCE EXCEPTIONS</x:v>
      </x:c>
      <x:c r="G9" s="105"/>
      <x:c r="H9" s="105"/>
      <x:c r="I9" s="105"/>
      <x:c r="J9" s="105"/>
    </x:row>
    <x:row r="10" ht="54" customHeight="1">
      <x:c r="A10" s="78" t="n">
        <x:v>1</x:v>
      </x:c>
      <x:c r="B10" s="80" t="str">
        <x:v>Save As → Excel Macro-Enabled Workbook (*.xlsm)</x:v>
      </x:c>
      <x:c r="C10" s="98" t="str">
        <x:v>قبل أي Macro، لازم الملف يصير XLSM.</x:v>
      </x:c>
      <x:c r="D10" s="82" t="str">
        <x:v>No</x:v>
      </x:c>
      <x:c r="E10" s="6"/>
      <x:c r="F10" s="105"/>
      <x:c r="G10" s="105"/>
      <x:c r="H10" s="105"/>
      <x:c r="I10" s="105"/>
      <x:c r="J10" s="105"/>
    </x:row>
    <x:row r="11" ht="54" customHeight="1">
      <x:c r="A11" s="78" t="n">
        <x:v>2</x:v>
      </x:c>
      <x:c r="B11" s="80" t="str">
        <x:v>Developer → Record Macro</x:v>
      </x:c>
      <x:c r="C11" s="98" t="str">
        <x:v>هسا Excel بلش يسجل حركاتي.</x:v>
      </x:c>
      <x:c r="D11" s="82" t="str">
        <x:v>No</x:v>
      </x:c>
      <x:c r="E11" s="6"/>
      <x:c r="F11" s="105"/>
      <x:c r="G11" s="105"/>
      <x:c r="H11" s="105"/>
      <x:c r="I11" s="105"/>
      <x:c r="J11" s="105"/>
    </x:row>
    <x:row r="12" ht="54" customHeight="1">
      <x:c r="A12" s="78" t="n">
        <x:v>3</x:v>
      </x:c>
      <x:c r="B12" s="80" t="str">
        <x:v>Name it: Build_Finance_Exception_Report</x:v>
      </x:c>
      <x:c r="C12" s="98" t="str">
        <x:v>اسم واضح، بدون Spaces.</x:v>
      </x:c>
      <x:c r="D12" s="82" t="str">
        <x:v>No</x:v>
      </x:c>
      <x:c r="E12" s="6"/>
      <x:c r="F12" s="105"/>
      <x:c r="G12" s="105"/>
      <x:c r="H12" s="105"/>
      <x:c r="I12" s="105"/>
      <x:c r="J12" s="105"/>
    </x:row>
    <x:row r="13" ht="54" customHeight="1">
      <x:c r="A13" s="78" t="n">
        <x:v>4</x:v>
      </x:c>
      <x:c r="B13" s="80" t="str">
        <x:v>Repeat the manual finance filter task</x:v>
      </x:c>
      <x:c r="C13" s="98" t="str">
        <x:v>اعمل نفس الخطوات اللي عملناها قبل شوي.</x:v>
      </x:c>
      <x:c r="D13" s="82" t="str">
        <x:v>No</x:v>
      </x:c>
      <x:c r="E13" s="6"/>
      <x:c r="F13" s="105"/>
      <x:c r="G13" s="105"/>
      <x:c r="H13" s="105"/>
      <x:c r="I13" s="105"/>
      <x:c r="J13" s="105"/>
    </x:row>
    <x:row r="14" ht="54" customHeight="1">
      <x:c r="A14" s="78" t="n">
        <x:v>5</x:v>
      </x:c>
      <x:c r="B14" s="80" t="str">
        <x:v>Stop Recording</x:v>
      </x:c>
      <x:c r="C14" s="98" t="str">
        <x:v>خلصنا التسجيل.</x:v>
      </x:c>
      <x:c r="D14" s="82" t="str">
        <x:v>No</x:v>
      </x:c>
      <x:c r="E14" s="6"/>
      <x:c r="F14" s="6"/>
      <x:c r="G14" s="6"/>
      <x:c r="H14" s="6"/>
      <x:c r="I14" s="6"/>
      <x:c r="J14" s="6"/>
    </x:row>
    <x:row r="15" ht="54" customHeight="1">
      <x:c r="A15" s="78" t="n">
        <x:v>6</x:v>
      </x:c>
      <x:c r="B15" s="80" t="str">
        <x:v>Developer → Macros → Run</x:v>
      </x:c>
      <x:c r="C15" s="98" t="str">
        <x:v>هسا خلينا نشوف Excel يعيدهم لحاله.</x:v>
      </x:c>
      <x:c r="D15" s="82" t="str">
        <x:v>No</x:v>
      </x:c>
      <x:c r="E15" s="6"/>
      <x:c r="F15" s="112" t="str">
        <x:v>THE WOW MOMENT
Click once.
Same finance report.
No repeated clicks.</x:v>
      </x:c>
      <x:c r="G15" s="112"/>
      <x:c r="H15" s="112"/>
      <x:c r="I15" s="112"/>
      <x:c r="J15" s="112"/>
    </x:row>
    <x:row r="16" ht="54" customHeight="1">
      <x:c r="A16" s="78" t="n">
        <x:v>7</x:v>
      </x:c>
      <x:c r="B16" s="80" t="str">
        <x:v>Insert Shape → Assign Macro</x:v>
      </x:c>
      <x:c r="C16" s="98" t="str">
        <x:v>المستخدم بده زر، مش Developer tab.</x:v>
      </x:c>
      <x:c r="D16" s="82" t="str">
        <x:v>No</x:v>
      </x:c>
      <x:c r="E16" s="6"/>
      <x:c r="F16" s="112"/>
      <x:c r="G16" s="112"/>
      <x:c r="H16" s="112"/>
      <x:c r="I16" s="112"/>
      <x:c r="J16" s="112"/>
    </x:row>
    <x:row r="17" ht="21" customHeight="1">
      <x:c r="A17" s="6"/>
      <x:c r="B17" s="6"/>
      <x:c r="C17" s="6"/>
      <x:c r="D17" s="6"/>
      <x:c r="E17" s="6"/>
      <x:c r="F17" s="112"/>
      <x:c r="G17" s="112"/>
      <x:c r="H17" s="112"/>
      <x:c r="I17" s="112"/>
      <x:c r="J17" s="112"/>
    </x:row>
    <x:row r="18" ht="21" customHeight="1">
      <x:c r="A18" s="6"/>
      <x:c r="B18" s="6"/>
      <x:c r="C18" s="6"/>
      <x:c r="D18" s="6"/>
      <x:c r="E18" s="6"/>
      <x:c r="F18" s="112"/>
      <x:c r="G18" s="112"/>
      <x:c r="H18" s="112"/>
      <x:c r="I18" s="112"/>
      <x:c r="J18" s="112"/>
    </x:row>
    <x:row r="19" ht="21" customHeight="1">
      <x:c r="A19" s="6"/>
      <x:c r="B19" s="6"/>
      <x:c r="C19" s="6"/>
      <x:c r="D19" s="6"/>
      <x:c r="E19" s="6"/>
      <x:c r="F19" s="6"/>
      <x:c r="G19" s="6"/>
      <x:c r="H19" s="6"/>
      <x:c r="I19" s="6"/>
      <x:c r="J19" s="6"/>
    </x:row>
    <x:row r="20" ht="21" customHeight="1">
      <x:c r="A20" s="6"/>
      <x:c r="B20" s="6"/>
      <x:c r="C20" s="6"/>
      <x:c r="D20" s="6"/>
      <x:c r="E20" s="6"/>
      <x:c r="F20" s="6"/>
      <x:c r="G20" s="6"/>
      <x:c r="H20" s="6"/>
      <x:c r="I20" s="6"/>
      <x:c r="J20" s="6"/>
    </x:row>
    <x:row r="21" ht="21" customHeight="1">
      <x:c r="A21" s="48" t="str">
        <x:v>MEMORY LINE • Manual once → Record → Stop → Run → Button</x:v>
      </x:c>
      <x:c r="B21" s="48"/>
      <x:c r="C21" s="48"/>
      <x:c r="D21" s="48"/>
      <x:c r="E21" s="48"/>
      <x:c r="F21" s="48"/>
      <x:c r="G21" s="48"/>
      <x:c r="H21" s="48"/>
      <x:c r="I21" s="48"/>
      <x:c r="J21" s="48"/>
    </x:row>
    <x:row r="22" ht="21" customHeight="1">
      <x:c r="A22" s="48"/>
      <x:c r="B22" s="48"/>
      <x:c r="C22" s="48"/>
      <x:c r="D22" s="48"/>
      <x:c r="E22" s="48"/>
      <x:c r="F22" s="48"/>
      <x:c r="G22" s="48"/>
      <x:c r="H22" s="48"/>
      <x:c r="I22" s="48"/>
      <x:c r="J22" s="48"/>
    </x:row>
    <x:row r="23" ht="21" customHeight="1">
      <x:c r="A23" s="48"/>
      <x:c r="B23" s="48"/>
      <x:c r="C23" s="48"/>
      <x:c r="D23" s="48"/>
      <x:c r="E23" s="48"/>
      <x:c r="F23" s="48"/>
      <x:c r="G23" s="48"/>
      <x:c r="H23" s="48"/>
      <x:c r="I23" s="48"/>
      <x:c r="J23" s="48"/>
    </x:row>
    <x:row r="24" ht="21" customHeight="1">
      <x:c r="A24" s="6"/>
      <x:c r="B24" s="6"/>
      <x:c r="C24" s="6"/>
      <x:c r="D24" s="6"/>
      <x:c r="E24" s="6"/>
      <x:c r="F24" s="6"/>
      <x:c r="G24" s="6"/>
      <x:c r="H24" s="6"/>
      <x:c r="I24" s="6"/>
      <x:c r="J24" s="6"/>
    </x:row>
    <x:row r="25" ht="21" customHeight="1">
      <x:c r="A25" s="6"/>
      <x:c r="B25" s="6"/>
      <x:c r="C25" s="6"/>
      <x:c r="D25" s="6"/>
      <x:c r="E25" s="6"/>
      <x:c r="F25" s="6"/>
      <x:c r="G25" s="6"/>
      <x:c r="H25" s="6"/>
      <x:c r="I25" s="6"/>
      <x:c r="J25" s="6"/>
    </x:row>
    <x:row r="26" ht="21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</x:row>
    <x:row r="27" ht="21" customHeight="1">
      <x:c r="A27" s="60" t="str">
        <x:v>DO NOT • Open VBA Editor. This is not a VBA lesson.</x:v>
      </x:c>
      <x:c r="B27" s="60"/>
      <x:c r="C27" s="60"/>
      <x:c r="D27" s="60"/>
      <x:c r="E27" s="60"/>
      <x:c r="F27" s="60"/>
      <x:c r="G27" s="60"/>
      <x:c r="H27" s="60"/>
      <x:c r="I27" s="60"/>
      <x:c r="J27" s="60"/>
    </x:row>
    <x:row r="28" ht="21" customHeight="1">
      <x:c r="A28" s="60"/>
      <x:c r="B28" s="60"/>
      <x:c r="C28" s="60"/>
      <x:c r="D28" s="60"/>
      <x:c r="E28" s="60"/>
      <x:c r="F28" s="60"/>
      <x:c r="G28" s="60"/>
      <x:c r="H28" s="60"/>
      <x:c r="I28" s="60"/>
      <x:c r="J28" s="60"/>
    </x:row>
    <x:row r="29" ht="21" customHeight="1">
      <x:c r="A29" s="60"/>
      <x:c r="B29" s="60"/>
      <x:c r="C29" s="60"/>
      <x:c r="D29" s="60"/>
      <x:c r="E29" s="60"/>
      <x:c r="F29" s="60"/>
      <x:c r="G29" s="60"/>
      <x:c r="H29" s="60"/>
      <x:c r="I29" s="60"/>
      <x:c r="J29" s="60"/>
    </x:row>
    <x:row r="30" ht="21" customHeight="1">
      <x:c r="A30" s="6"/>
      <x:c r="B30" s="6"/>
      <x:c r="C30" s="6"/>
      <x:c r="D30" s="6"/>
      <x:c r="E30" s="6"/>
      <x:c r="F30" s="6"/>
      <x:c r="G30" s="6"/>
      <x:c r="H30" s="6"/>
      <x:c r="I30" s="6"/>
      <x:c r="J30" s="6"/>
    </x:row>
  </x:sheetData>
  <x:mergeCells>
    <x:mergeCell ref="A1:J2"/>
    <x:mergeCell ref="A3:J3"/>
    <x:mergeCell ref="A5:J6"/>
    <x:mergeCell ref="F9:J13"/>
    <x:mergeCell ref="F15:J18"/>
    <x:mergeCell ref="A21:J23"/>
    <x:mergeCell ref="A27:J29"/>
  </x:mergeCells>
  <x:dataValidations count="1">
    <x:dataValidation type="list" sqref="D10:D16">
      <x:formula1>"No,Done"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6" hidden="0" customWidth="1"/>
    <x:col min="3" max="3" width="26" hidden="0" customWidth="1"/>
    <x:col min="4" max="4" width="12" hidden="0" customWidth="1"/>
    <x:col min="5" max="5" width="4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1" customHeight="1">
      <x:c r="A1" s="54" t="str">
        <x:v>STEP 3 • YOUR FINANCE PRACTICE</x:v>
      </x:c>
      <x:c r="B1" s="54"/>
      <x:c r="C1" s="54"/>
      <x:c r="D1" s="54"/>
      <x:c r="E1" s="54"/>
      <x:c r="F1" s="54"/>
      <x:c r="G1" s="54"/>
      <x:c r="H1" s="54"/>
      <x:c r="I1" s="54"/>
      <x:c r="J1" s="54"/>
    </x:row>
    <x:row r="2" ht="21" customHeight="1">
      <x:c r="A2" s="54"/>
      <x:c r="B2" s="54"/>
      <x:c r="C2" s="54"/>
      <x:c r="D2" s="54"/>
      <x:c r="E2" s="54"/>
      <x:c r="F2" s="54"/>
      <x:c r="G2" s="54"/>
      <x:c r="H2" s="54"/>
      <x:c r="I2" s="54"/>
      <x:c r="J2" s="54"/>
    </x:row>
    <x:row r="3" ht="21" customHeight="1">
      <x:c r="A3" s="19" t="str">
        <x:v>هسا هم يسجلوا Macro بسيط لحالهم</x:v>
      </x:c>
      <x:c r="B3" s="19"/>
      <x:c r="C3" s="19"/>
      <x:c r="D3" s="19"/>
      <x:c r="E3" s="19"/>
      <x:c r="F3" s="19"/>
      <x:c r="G3" s="19"/>
      <x:c r="H3" s="19"/>
      <x:c r="I3" s="19"/>
      <x:c r="J3" s="19"/>
    </x:row>
    <x:row r="4" ht="21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21" customHeight="1">
      <x:c r="A5" s="60" t="str">
        <x:v>YOUR MISSION • Create ONE macro that saves repeated finance / back-office clicks.</x:v>
      </x:c>
      <x:c r="B5" s="60"/>
      <x:c r="C5" s="60"/>
      <x:c r="D5" s="60"/>
      <x:c r="E5" s="60"/>
      <x:c r="F5" s="60"/>
      <x:c r="G5" s="60"/>
      <x:c r="H5" s="60"/>
      <x:c r="I5" s="60"/>
      <x:c r="J5" s="60"/>
    </x:row>
    <x:row r="6" ht="21" customHeight="1">
      <x:c r="A6" s="60"/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1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</x:row>
    <x:row r="8" ht="21" customHeight="1">
      <x:c r="A8" s="6"/>
      <x:c r="B8" s="6"/>
      <x:c r="C8" s="6"/>
      <x:c r="D8" s="6"/>
      <x:c r="E8" s="6"/>
      <x:c r="F8" s="6"/>
      <x:c r="G8" s="6"/>
      <x:c r="H8" s="6"/>
      <x:c r="I8" s="6"/>
      <x:c r="J8" s="6"/>
    </x:row>
    <x:row r="9" ht="21" customHeight="1">
      <x:c r="A9" s="66" t="str">
        <x:v>OPTION</x:v>
      </x:c>
      <x:c r="B9" s="66" t="str">
        <x:v>TASK</x:v>
      </x:c>
      <x:c r="C9" s="66" t="str">
        <x:v>BUTTON NAME</x:v>
      </x:c>
      <x:c r="D9" s="66" t="str">
        <x:v>DONE?</x:v>
      </x:c>
      <x:c r="E9" s="6"/>
      <x:c r="F9" s="34" t="str">
        <x:v>RULE
Choose ONE task only.
Record it.
Assign it to a button.
Test it twice.</x:v>
      </x:c>
      <x:c r="G9" s="34"/>
      <x:c r="H9" s="34"/>
      <x:c r="I9" s="34"/>
      <x:c r="J9" s="34"/>
    </x:row>
    <x:row r="10" ht="48" customHeight="1">
      <x:c r="A10" s="78" t="str">
        <x:v>A</x:v>
      </x:c>
      <x:c r="B10" s="80" t="str">
        <x:v>Filter Cost Center = CC-110 and copy results</x:v>
      </x:c>
      <x:c r="C10" s="71" t="str">
        <x:v>CC-110 REPORT</x:v>
      </x:c>
      <x:c r="D10" s="82" t="str">
        <x:v>No</x:v>
      </x:c>
      <x:c r="E10" s="6"/>
      <x:c r="F10" s="34"/>
      <x:c r="G10" s="34"/>
      <x:c r="H10" s="34"/>
      <x:c r="I10" s="34"/>
      <x:c r="J10" s="34"/>
    </x:row>
    <x:row r="11" ht="48" customHeight="1">
      <x:c r="A11" s="78" t="str">
        <x:v>B</x:v>
      </x:c>
      <x:c r="B11" s="80" t="str">
        <x:v>Filter Department = Operations</x:v>
      </x:c>
      <x:c r="C11" s="71" t="str">
        <x:v>OPERATIONS REPORT</x:v>
      </x:c>
      <x:c r="D11" s="82" t="str">
        <x:v>No</x:v>
      </x:c>
      <x:c r="E11" s="6"/>
      <x:c r="F11" s="34"/>
      <x:c r="G11" s="34"/>
      <x:c r="H11" s="34"/>
      <x:c r="I11" s="34"/>
      <x:c r="J11" s="34"/>
    </x:row>
    <x:row r="12" ht="48" customHeight="1">
      <x:c r="A12" s="78" t="str">
        <x:v>C</x:v>
      </x:c>
      <x:c r="B12" s="80" t="str">
        <x:v>Clear all filters and return to top</x:v>
      </x:c>
      <x:c r="C12" s="71" t="str">
        <x:v>RESET REPORT</x:v>
      </x:c>
      <x:c r="D12" s="82" t="str">
        <x:v>No</x:v>
      </x:c>
      <x:c r="E12" s="6"/>
      <x:c r="F12" s="34"/>
      <x:c r="G12" s="34"/>
      <x:c r="H12" s="34"/>
      <x:c r="I12" s="34"/>
      <x:c r="J12" s="34"/>
    </x:row>
    <x:row r="13" ht="21" customHeight="1">
      <x:c r="A13" s="6"/>
      <x:c r="B13" s="6"/>
      <x:c r="C13" s="6"/>
      <x:c r="D13" s="6"/>
      <x:c r="E13" s="6"/>
      <x:c r="F13" s="34"/>
      <x:c r="G13" s="34"/>
      <x:c r="H13" s="34"/>
      <x:c r="I13" s="34"/>
      <x:c r="J13" s="34"/>
    </x:row>
    <x:row r="14" ht="21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</x:row>
    <x:row r="15" ht="21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</x:row>
    <x:row r="16" ht="21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</x:row>
    <x:row r="17" ht="21" customHeight="1">
      <x:c r="A17" s="78" t="str">
        <x:v>TRAINER CHECK • Don't ask for fancy macros. Check that they understand the sequence.</x:v>
      </x:c>
      <x:c r="B17" s="78"/>
      <x:c r="C17" s="78"/>
      <x:c r="D17" s="78"/>
      <x:c r="E17" s="78"/>
      <x:c r="F17" s="78"/>
      <x:c r="G17" s="78"/>
      <x:c r="H17" s="78"/>
      <x:c r="I17" s="78"/>
      <x:c r="J17" s="78"/>
    </x:row>
    <x:row r="18" ht="21" customHeight="1">
      <x:c r="A18" s="78"/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 ht="21" customHeight="1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 ht="21" customHeight="1">
      <x:c r="A20" s="6"/>
      <x:c r="B20" s="6"/>
      <x:c r="C20" s="6"/>
      <x:c r="D20" s="6"/>
      <x:c r="E20" s="6"/>
      <x:c r="F20" s="6"/>
      <x:c r="G20" s="6"/>
      <x:c r="H20" s="6"/>
      <x:c r="I20" s="6"/>
      <x:c r="J20" s="6"/>
    </x:row>
    <x:row r="21" ht="21" customHeight="1">
      <x:c r="A21" s="6"/>
      <x:c r="B21" s="6"/>
      <x:c r="C21" s="6"/>
      <x:c r="D21" s="6"/>
      <x:c r="E21" s="6"/>
      <x:c r="F21" s="6"/>
      <x:c r="G21" s="6"/>
      <x:c r="H21" s="6"/>
      <x:c r="I21" s="6"/>
      <x:c r="J21" s="6"/>
    </x:row>
    <x:row r="22" ht="21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</x:row>
    <x:row r="23" ht="21" customHeight="1">
      <x:c r="A23" s="92" t="str">
        <x:v>إذا نجح الزر مرتين ورا بعض، الفكرة وصلت.</x:v>
      </x:c>
      <x:c r="B23" s="92"/>
      <x:c r="C23" s="92"/>
      <x:c r="D23" s="92"/>
      <x:c r="E23" s="92"/>
      <x:c r="F23" s="92"/>
      <x:c r="G23" s="92"/>
      <x:c r="H23" s="92"/>
      <x:c r="I23" s="92"/>
      <x:c r="J23" s="92"/>
    </x:row>
    <x:row r="24" ht="21" customHeight="1">
      <x:c r="A24" s="92"/>
      <x:c r="B24" s="92"/>
      <x:c r="C24" s="92"/>
      <x:c r="D24" s="92"/>
      <x:c r="E24" s="92"/>
      <x:c r="F24" s="92"/>
      <x:c r="G24" s="92"/>
      <x:c r="H24" s="92"/>
      <x:c r="I24" s="92"/>
      <x:c r="J24" s="92"/>
    </x:row>
    <x:row r="25" ht="21" customHeight="1">
      <x:c r="A25" s="92"/>
      <x:c r="B25" s="92"/>
      <x:c r="C25" s="92"/>
      <x:c r="D25" s="92"/>
      <x:c r="E25" s="92"/>
      <x:c r="F25" s="92"/>
      <x:c r="G25" s="92"/>
      <x:c r="H25" s="92"/>
      <x:c r="I25" s="92"/>
      <x:c r="J25" s="92"/>
    </x:row>
    <x:row r="26" ht="21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</x:row>
    <x:row r="27" ht="21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</x:row>
  </x:sheetData>
  <x:mergeCells>
    <x:mergeCell ref="A1:J2"/>
    <x:mergeCell ref="A3:J3"/>
    <x:mergeCell ref="A5:J6"/>
    <x:mergeCell ref="F9:J13"/>
    <x:mergeCell ref="A17:J19"/>
    <x:mergeCell ref="A23:J25"/>
  </x:mergeCells>
  <x:dataValidations count="1">
    <x:dataValidation type="list" sqref="D10:D12">
      <x:formula1>"No,Done"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0" hidden="0" customWidth="1"/>
    <x:col min="3" max="3" width="20" hidden="0" customWidth="1"/>
    <x:col min="4" max="4" width="28" hidden="0" customWidth="1"/>
    <x:col min="5" max="5" width="4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21" customHeight="1">
      <x:c r="A1" s="54" t="str">
        <x:v>STEP 4 • PROTECT THE FINANCE FILE</x:v>
      </x:c>
      <x:c r="B1" s="54"/>
      <x:c r="C1" s="54"/>
      <x:c r="D1" s="54"/>
      <x:c r="E1" s="54"/>
      <x:c r="F1" s="54"/>
      <x:c r="G1" s="54"/>
      <x:c r="H1" s="54"/>
      <x:c r="I1" s="54"/>
      <x:c r="J1" s="54"/>
    </x:row>
    <x:row r="2" ht="21" customHeight="1">
      <x:c r="A2" s="54"/>
      <x:c r="B2" s="54"/>
      <x:c r="C2" s="54"/>
      <x:c r="D2" s="54"/>
      <x:c r="E2" s="54"/>
      <x:c r="F2" s="54"/>
      <x:c r="G2" s="54"/>
      <x:c r="H2" s="54"/>
      <x:c r="I2" s="54"/>
      <x:c r="J2" s="54"/>
    </x:row>
    <x:row r="3" ht="21" customHeight="1">
      <x:c r="A3" s="19" t="str">
        <x:v>الملف صار مرتب… شو لو حدا مسح Formula أو غيّر نتيجة بالغلط؟</x:v>
      </x:c>
      <x:c r="B3" s="19"/>
      <x:c r="C3" s="19"/>
      <x:c r="D3" s="19"/>
      <x:c r="E3" s="19"/>
      <x:c r="F3" s="19"/>
      <x:c r="G3" s="19"/>
      <x:c r="H3" s="19"/>
      <x:c r="I3" s="19"/>
      <x:c r="J3" s="19"/>
    </x:row>
    <x:row r="4" ht="21" customHeight="1">
      <x:c r="A4" s="6"/>
      <x:c r="B4" s="6"/>
      <x:c r="C4" s="6"/>
      <x:c r="D4" s="6"/>
      <x:c r="E4" s="6"/>
      <x:c r="F4" s="6"/>
      <x:c r="G4" s="6"/>
      <x:c r="H4" s="6"/>
      <x:c r="I4" s="6"/>
      <x:c r="J4" s="6"/>
    </x:row>
    <x:row r="5" ht="21" customHeight="1">
      <x:c r="A5" s="60" t="str">
        <x:v>YOUR MISSION • Yellow input cells stay editable. Formula cells should be protected.</x:v>
      </x:c>
      <x:c r="B5" s="60"/>
      <x:c r="C5" s="60"/>
      <x:c r="D5" s="60"/>
      <x:c r="E5" s="60"/>
      <x:c r="F5" s="60"/>
      <x:c r="G5" s="60"/>
      <x:c r="H5" s="60"/>
      <x:c r="I5" s="60"/>
      <x:c r="J5" s="60"/>
    </x:row>
    <x:row r="6" ht="21" customHeight="1">
      <x:c r="A6" s="60"/>
      <x:c r="B6" s="60"/>
      <x:c r="C6" s="60"/>
      <x:c r="D6" s="60"/>
      <x:c r="E6" s="60"/>
      <x:c r="F6" s="60"/>
      <x:c r="G6" s="60"/>
      <x:c r="H6" s="60"/>
      <x:c r="I6" s="60"/>
      <x:c r="J6" s="60"/>
    </x:row>
    <x:row r="7" ht="21" customHeight="1">
      <x:c r="A7" s="6"/>
      <x:c r="B7" s="6"/>
      <x:c r="C7" s="6"/>
      <x:c r="D7" s="6"/>
      <x:c r="E7" s="6"/>
      <x:c r="F7" s="6"/>
      <x:c r="G7" s="6"/>
      <x:c r="H7" s="6"/>
      <x:c r="I7" s="6"/>
      <x:c r="J7" s="6"/>
    </x:row>
    <x:row r="8" ht="21" customHeight="1">
      <x:c r="A8" s="6"/>
      <x:c r="B8" s="6"/>
      <x:c r="C8" s="6"/>
      <x:c r="D8" s="6"/>
      <x:c r="E8" s="6"/>
      <x:c r="F8" s="6"/>
      <x:c r="G8" s="6"/>
      <x:c r="H8" s="6"/>
      <x:c r="I8" s="6"/>
      <x:c r="J8" s="6"/>
    </x:row>
    <x:row r="9" ht="21" customHeight="1">
      <x:c r="A9" s="66" t="str">
        <x:v>FIELD</x:v>
      </x:c>
      <x:c r="B9" s="66" t="str">
        <x:v>VALUE</x:v>
      </x:c>
      <x:c r="C9" s="66" t="str">
        <x:v>SHOULD USER EDIT?</x:v>
      </x:c>
      <x:c r="D9" s="66" t="str">
        <x:v>WHY</x:v>
      </x:c>
      <x:c r="E9" s="6"/>
      <x:c r="F9" s="128" t="str">
        <x:v>DO THIS WITH THEM
1. Select yellow input cells
2. Format Cells → Protection
3. Uncheck Locked
4. Review → Protect Sheet
5. Test both input + formula cells</x:v>
      </x:c>
      <x:c r="G9" s="128"/>
      <x:c r="H9" s="128"/>
      <x:c r="I9" s="128"/>
      <x:c r="J9" s="128"/>
    </x:row>
    <x:row r="10" ht="44" customHeight="1">
      <x:c r="A10" s="71" t="str">
        <x:v>Cost Center</x:v>
      </x:c>
      <x:c r="B10" s="82" t="str">
        <x:v>CC-110</x:v>
      </x:c>
      <x:c r="C10" s="71" t="str">
        <x:v>Yes</x:v>
      </x:c>
      <x:c r="D10" s="71" t="str">
        <x:v>User selection</x:v>
      </x:c>
      <x:c r="E10" s="6"/>
      <x:c r="F10" s="128"/>
      <x:c r="G10" s="128"/>
      <x:c r="H10" s="128"/>
      <x:c r="I10" s="128"/>
      <x:c r="J10" s="128"/>
    </x:row>
    <x:row r="11" ht="44" customHeight="1">
      <x:c r="A11" s="71" t="str">
        <x:v>Budget</x:v>
      </x:c>
      <x:c r="B11" s="118" t="n">
        <x:v>15000</x:v>
      </x:c>
      <x:c r="C11" s="71" t="str">
        <x:v>Yes</x:v>
      </x:c>
      <x:c r="D11" s="71" t="str">
        <x:v>User input</x:v>
      </x:c>
      <x:c r="E11" s="6"/>
      <x:c r="F11" s="128"/>
      <x:c r="G11" s="128"/>
      <x:c r="H11" s="128"/>
      <x:c r="I11" s="128"/>
      <x:c r="J11" s="128"/>
    </x:row>
    <x:row r="12" ht="44" customHeight="1">
      <x:c r="A12" s="71" t="str">
        <x:v>Actual Spend</x:v>
      </x:c>
      <x:c r="B12" s="118" t="n">
        <x:v>14250</x:v>
      </x:c>
      <x:c r="C12" s="71" t="str">
        <x:v>Yes</x:v>
      </x:c>
      <x:c r="D12" s="71" t="str">
        <x:v>User input</x:v>
      </x:c>
      <x:c r="E12" s="6"/>
      <x:c r="F12" s="128"/>
      <x:c r="G12" s="128"/>
      <x:c r="H12" s="128"/>
      <x:c r="I12" s="128"/>
      <x:c r="J12" s="128"/>
    </x:row>
    <x:row r="13" ht="44" customHeight="1">
      <x:c r="A13" s="71" t="str">
        <x:v>Utilization %</x:v>
      </x:c>
      <x:c r="B13" s="122" t="n">
        <x:f>IFERROR(B12/B11,0)</x:f>
        <x:v>0.95</x:v>
      </x:c>
      <x:c r="C13" s="71" t="str">
        <x:v>No</x:v>
      </x:c>
      <x:c r="D13" s="71" t="str">
        <x:v>Formula</x:v>
      </x:c>
      <x:c r="E13" s="6"/>
      <x:c r="F13" s="128"/>
      <x:c r="G13" s="128"/>
      <x:c r="H13" s="128"/>
      <x:c r="I13" s="128"/>
      <x:c r="J13" s="128"/>
    </x:row>
    <x:row r="14" ht="44" customHeight="1">
      <x:c r="A14" s="71" t="str">
        <x:v>Budget Status</x:v>
      </x:c>
      <x:c r="B14" s="123" t="str">
        <x:f>IF(B12&lt;=B11,"WITHIN BUDGET","OVER BUDGET")</x:f>
        <x:v>WITHIN BUDGET</x:v>
      </x:c>
      <x:c r="C14" s="71" t="str">
        <x:v>No</x:v>
      </x:c>
      <x:c r="D14" s="71" t="str">
        <x:v>Formula</x:v>
      </x:c>
      <x:c r="E14" s="6"/>
      <x:c r="F14" s="128"/>
      <x:c r="G14" s="128"/>
      <x:c r="H14" s="128"/>
      <x:c r="I14" s="128"/>
      <x:c r="J14" s="128"/>
    </x:row>
    <x:row r="15" ht="21" customHeight="1">
      <x:c r="A15" s="6"/>
      <x:c r="B15" s="6"/>
      <x:c r="C15" s="6"/>
      <x:c r="D15" s="6"/>
      <x:c r="E15" s="6"/>
      <x:c r="F15" s="128"/>
      <x:c r="G15" s="128"/>
      <x:c r="H15" s="128"/>
      <x:c r="I15" s="128"/>
      <x:c r="J15" s="128"/>
    </x:row>
    <x:row r="16" ht="21" customHeight="1">
      <x:c r="A16" s="6"/>
      <x:c r="B16" s="6"/>
      <x:c r="C16" s="6"/>
      <x:c r="D16" s="6"/>
      <x:c r="E16" s="6"/>
      <x:c r="F16" s="6"/>
      <x:c r="G16" s="6"/>
      <x:c r="H16" s="6"/>
      <x:c r="I16" s="6"/>
      <x:c r="J16" s="6"/>
    </x:row>
    <x:row r="17" ht="21" customHeight="1">
      <x:c r="A17" s="6"/>
      <x:c r="B17" s="6"/>
      <x:c r="C17" s="6"/>
      <x:c r="D17" s="6"/>
      <x:c r="E17" s="6"/>
      <x:c r="F17" s="6"/>
      <x:c r="G17" s="6"/>
      <x:c r="H17" s="6"/>
      <x:c r="I17" s="6"/>
      <x:c r="J17" s="6"/>
    </x:row>
    <x:row r="18" ht="21" customHeight="1">
      <x:c r="A18" s="78" t="str">
        <x:v>KEY FACT • Cells are Locked by default, but it only matters after Protect Sheet.</x:v>
      </x:c>
      <x:c r="B18" s="78"/>
      <x:c r="C18" s="78"/>
      <x:c r="D18" s="78"/>
      <x:c r="E18" s="78"/>
      <x:c r="F18" s="78"/>
      <x:c r="G18" s="78"/>
      <x:c r="H18" s="78"/>
      <x:c r="I18" s="78"/>
      <x:c r="J18" s="78"/>
    </x:row>
    <x:row r="19" ht="21" customHeight="1">
      <x:c r="A19" s="78"/>
      <x:c r="B19" s="78"/>
      <x:c r="C19" s="78"/>
      <x:c r="D19" s="78"/>
      <x:c r="E19" s="78"/>
      <x:c r="F19" s="78"/>
      <x:c r="G19" s="78"/>
      <x:c r="H19" s="78"/>
      <x:c r="I19" s="78"/>
      <x:c r="J19" s="78"/>
    </x:row>
    <x:row r="20" ht="21" customHeight="1">
      <x:c r="A20" s="78"/>
      <x:c r="B20" s="78"/>
      <x:c r="C20" s="78"/>
      <x:c r="D20" s="78"/>
      <x:c r="E20" s="78"/>
      <x:c r="F20" s="78"/>
      <x:c r="G20" s="78"/>
      <x:c r="H20" s="78"/>
      <x:c r="I20" s="78"/>
      <x:c r="J20" s="78"/>
    </x:row>
    <x:row r="21" ht="21" customHeight="1">
      <x:c r="A21" s="6"/>
      <x:c r="B21" s="6"/>
      <x:c r="C21" s="6"/>
      <x:c r="D21" s="6"/>
      <x:c r="E21" s="6"/>
      <x:c r="F21" s="6"/>
      <x:c r="G21" s="6"/>
      <x:c r="H21" s="6"/>
      <x:c r="I21" s="6"/>
      <x:c r="J21" s="6"/>
    </x:row>
    <x:row r="22" ht="21" customHeight="1">
      <x:c r="A22" s="6"/>
      <x:c r="B22" s="6"/>
      <x:c r="C22" s="6"/>
      <x:c r="D22" s="6"/>
      <x:c r="E22" s="6"/>
      <x:c r="F22" s="6"/>
      <x:c r="G22" s="6"/>
      <x:c r="H22" s="6"/>
      <x:c r="I22" s="6"/>
      <x:c r="J22" s="6"/>
    </x:row>
    <x:row r="23" ht="21" customHeight="1">
      <x:c r="A23" s="41" t="str">
        <x:v>TEST • Yellow input cell should edit. Formula cell should refuse.</x:v>
      </x:c>
      <x:c r="B23" s="41"/>
      <x:c r="C23" s="41"/>
      <x:c r="D23" s="41"/>
      <x:c r="E23" s="41"/>
      <x:c r="F23" s="41"/>
      <x:c r="G23" s="41"/>
      <x:c r="H23" s="41"/>
      <x:c r="I23" s="41"/>
      <x:c r="J23" s="41"/>
    </x:row>
    <x:row r="24" ht="21" customHeight="1">
      <x:c r="A24" s="41"/>
      <x:c r="B24" s="41"/>
      <x:c r="C24" s="41"/>
      <x:c r="D24" s="41"/>
      <x:c r="E24" s="41"/>
      <x:c r="F24" s="41"/>
      <x:c r="G24" s="41"/>
      <x:c r="H24" s="41"/>
      <x:c r="I24" s="41"/>
      <x:c r="J24" s="41"/>
    </x:row>
    <x:row r="25" ht="21" customHeight="1">
      <x:c r="A25" s="41"/>
      <x:c r="B25" s="41"/>
      <x:c r="C25" s="41"/>
      <x:c r="D25" s="41"/>
      <x:c r="E25" s="41"/>
      <x:c r="F25" s="41"/>
      <x:c r="G25" s="41"/>
      <x:c r="H25" s="41"/>
      <x:c r="I25" s="41"/>
      <x:c r="J25" s="41"/>
    </x:row>
    <x:row r="26" ht="21" customHeight="1">
      <x:c r="A26" s="6"/>
      <x:c r="B26" s="6"/>
      <x:c r="C26" s="6"/>
      <x:c r="D26" s="6"/>
      <x:c r="E26" s="6"/>
      <x:c r="F26" s="6"/>
      <x:c r="G26" s="6"/>
      <x:c r="H26" s="6"/>
      <x:c r="I26" s="6"/>
      <x:c r="J26" s="6"/>
    </x:row>
    <x:row r="27" ht="21" customHeight="1">
      <x:c r="A27" s="6"/>
      <x:c r="B27" s="6"/>
      <x:c r="C27" s="6"/>
      <x:c r="D27" s="6"/>
      <x:c r="E27" s="6"/>
      <x:c r="F27" s="6"/>
      <x:c r="G27" s="6"/>
      <x:c r="H27" s="6"/>
      <x:c r="I27" s="6"/>
      <x:c r="J27" s="6"/>
    </x:row>
    <x:row r="28" ht="21" customHeight="1">
      <x:c r="A28" s="6"/>
      <x:c r="B28" s="6"/>
      <x:c r="C28" s="6"/>
      <x:c r="D28" s="6"/>
      <x:c r="E28" s="6"/>
      <x:c r="F28" s="6"/>
      <x:c r="G28" s="6"/>
      <x:c r="H28" s="6"/>
      <x:c r="I28" s="6"/>
      <x:c r="J28" s="6"/>
    </x:row>
    <x:row r="29" ht="21" customHeight="1">
      <x:c r="A29" s="134" t="str">
        <x:v>Protection helps prevent accidental edits. It is not strong security.</x:v>
      </x:c>
      <x:c r="B29" s="134"/>
      <x:c r="C29" s="134"/>
      <x:c r="D29" s="134"/>
      <x:c r="E29" s="134"/>
      <x:c r="F29" s="134"/>
      <x:c r="G29" s="134"/>
      <x:c r="H29" s="134"/>
      <x:c r="I29" s="134"/>
      <x:c r="J29" s="134"/>
    </x:row>
    <x:row r="30" ht="21" customHeight="1">
      <x:c r="A30" s="134"/>
      <x:c r="B30" s="134"/>
      <x:c r="C30" s="134"/>
      <x:c r="D30" s="134"/>
      <x:c r="E30" s="134"/>
      <x:c r="F30" s="134"/>
      <x:c r="G30" s="134"/>
      <x:c r="H30" s="134"/>
      <x:c r="I30" s="134"/>
      <x:c r="J30" s="134"/>
    </x:row>
    <x:row r="31" ht="21" customHeight="1">
      <x:c r="A31" s="134"/>
      <x:c r="B31" s="134"/>
      <x:c r="C31" s="134"/>
      <x:c r="D31" s="134"/>
      <x:c r="E31" s="134"/>
      <x:c r="F31" s="134"/>
      <x:c r="G31" s="134"/>
      <x:c r="H31" s="134"/>
      <x:c r="I31" s="134"/>
      <x:c r="J31" s="134"/>
    </x:row>
    <x:row r="32" ht="21" customHeight="1">
      <x:c r="A32" s="6"/>
      <x:c r="B32" s="6"/>
      <x:c r="C32" s="6"/>
      <x:c r="D32" s="6"/>
      <x:c r="E32" s="6"/>
      <x:c r="F32" s="6"/>
      <x:c r="G32" s="6"/>
      <x:c r="H32" s="6"/>
      <x:c r="I32" s="6"/>
      <x:c r="J32" s="6"/>
    </x:row>
  </x:sheetData>
  <x:mergeCells>
    <x:mergeCell ref="A1:J2"/>
    <x:mergeCell ref="A3:J3"/>
    <x:mergeCell ref="A5:J6"/>
    <x:mergeCell ref="F9:J15"/>
    <x:mergeCell ref="A18:J20"/>
    <x:mergeCell ref="A23:J25"/>
    <x:mergeCell ref="A29:J3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8" hidden="0" customWidth="1"/>
    <x:col min="3" max="3" width="64" hidden="0" customWidth="1"/>
    <x:col min="4" max="4" width="34" hidden="0" customWidth="1"/>
    <x:col min="5" max="5" width="25" hidden="0" customWidth="1"/>
  </x:cols>
  <x:sheetData>
    <x:row r="1" ht="21" customHeight="1">
      <x:c r="A1" s="54" t="str">
        <x:v>TRAINER FLOW • FINANCE / BACK OFFICE • 100 MIN</x:v>
      </x:c>
      <x:c r="B1" s="54"/>
      <x:c r="C1" s="54"/>
      <x:c r="D1" s="54"/>
      <x:c r="E1" s="54"/>
    </x:row>
    <x:row r="2" ht="21" customHeight="1">
      <x:c r="A2" s="54"/>
      <x:c r="B2" s="54"/>
      <x:c r="C2" s="54"/>
      <x:c r="D2" s="54"/>
      <x:c r="E2" s="54"/>
    </x:row>
    <x:row r="3" ht="21" customHeight="1">
      <x:c r="A3" s="19" t="str">
        <x:v>هاي الصفحة إلك. امشِ عليها وبس.</x:v>
      </x:c>
      <x:c r="B3" s="19"/>
      <x:c r="C3" s="19"/>
      <x:c r="D3" s="19"/>
      <x:c r="E3" s="19"/>
    </x:row>
    <x:row r="4" ht="21" customHeight="1">
      <x:c r="A4" s="6"/>
      <x:c r="B4" s="6"/>
      <x:c r="C4" s="6"/>
      <x:c r="D4" s="6"/>
      <x:c r="E4" s="6"/>
    </x:row>
    <x:row r="5" ht="21" customHeight="1">
      <x:c r="A5" s="6"/>
      <x:c r="B5" s="6"/>
      <x:c r="C5" s="6"/>
      <x:c r="D5" s="6"/>
      <x:c r="E5" s="6"/>
    </x:row>
    <x:row r="6" ht="21" customHeight="1">
      <x:c r="A6" s="66" t="str">
        <x:v>MIN</x:v>
      </x:c>
      <x:c r="B6" s="66" t="str">
        <x:v>WHAT YOU DO</x:v>
      </x:c>
      <x:c r="C6" s="66" t="str">
        <x:v>WHAT YOU SAY</x:v>
      </x:c>
      <x:c r="D6" s="66" t="str">
        <x:v>LEARNER DOES</x:v>
      </x:c>
      <x:c r="E6" s="66" t="str">
        <x:v>SHEET</x:v>
      </x:c>
    </x:row>
    <x:row r="7" ht="70" customHeight="1">
      <x:c r="A7" s="80" t="str">
        <x:v>00–10</x:v>
      </x:c>
      <x:c r="B7" s="71" t="str">
        <x:v>Build the finance exception report manually.</x:v>
      </x:c>
      <x:c r="C7" s="139" t="str">
        <x:v>إذا بعمل تقرير الاستثناءات كل يوم، ليش أعيده؟</x:v>
      </x:c>
      <x:c r="D7" s="170" t="str">
        <x:v>Watch + repeat manually</x:v>
      </x:c>
      <x:c r="E7" s="71" t="str">
        <x:v>01_MANUAL_VS_ONE_CLICK</x:v>
      </x:c>
    </x:row>
    <x:row r="8" ht="70" customHeight="1">
      <x:c r="A8" s="80" t="str">
        <x:v>10–25</x:v>
      </x:c>
      <x:c r="B8" s="71" t="str">
        <x:v>Record the same report live.</x:v>
      </x:c>
      <x:c r="C8" s="139" t="str">
        <x:v>Excel هسا عم يتذكر خطواتي.</x:v>
      </x:c>
      <x:c r="D8" s="170" t="str">
        <x:v>Follow with you</x:v>
      </x:c>
      <x:c r="E8" s="71" t="str">
        <x:v>02_RECORD_WITH_ME</x:v>
      </x:c>
    </x:row>
    <x:row r="9" ht="70" customHeight="1">
      <x:c r="A9" s="80" t="str">
        <x:v>25–35</x:v>
      </x:c>
      <x:c r="B9" s="71" t="str">
        <x:v>Run macro + assign button.</x:v>
      </x:c>
      <x:c r="C9" s="139" t="str">
        <x:v>هسا نفس التقرير بضغطة.</x:v>
      </x:c>
      <x:c r="D9" s="170" t="str">
        <x:v>Click and test</x:v>
      </x:c>
      <x:c r="E9" s="71" t="str">
        <x:v>02_RECORD_WITH_ME</x:v>
      </x:c>
    </x:row>
    <x:row r="10" ht="70" customHeight="1">
      <x:c r="A10" s="80" t="str">
        <x:v>35–55</x:v>
      </x:c>
      <x:c r="B10" s="71" t="str">
        <x:v>Give them one simple finance macro task.</x:v>
      </x:c>
      <x:c r="C10" s="139" t="str">
        <x:v>اختاروا مهمة وحدة بس.</x:v>
      </x:c>
      <x:c r="D10" s="170" t="str">
        <x:v>Record + button</x:v>
      </x:c>
      <x:c r="E10" s="71" t="str">
        <x:v>03_YOUR_PRACTICE</x:v>
      </x:c>
    </x:row>
    <x:row r="11" ht="70" customHeight="1">
      <x:c r="A11" s="80" t="str">
        <x:v>55–70</x:v>
      </x:c>
      <x:c r="B11" s="71" t="str">
        <x:v>Use the macro on cost-center / department filtering.</x:v>
      </x:c>
      <x:c r="C11" s="139" t="str">
        <x:v>خلي الـMacro يعمل شغل فعلي.</x:v>
      </x:c>
      <x:c r="D11" s="170" t="str">
        <x:v>Apply on data</x:v>
      </x:c>
      <x:c r="E11" s="71" t="str">
        <x:v>06_PRACTICE_DATA</x:v>
      </x:c>
    </x:row>
    <x:row r="12" ht="70" customHeight="1">
      <x:c r="A12" s="80" t="str">
        <x:v>70–90</x:v>
      </x:c>
      <x:c r="B12" s="71" t="str">
        <x:v>Teach Unlock → Protect Sheet.</x:v>
      </x:c>
      <x:c r="C12" s="139" t="str">
        <x:v>شو بصير إذا حدا غيّر Formula أو Budget Status؟</x:v>
      </x:c>
      <x:c r="D12" s="170" t="str">
        <x:v>Protect + test</x:v>
      </x:c>
      <x:c r="E12" s="71" t="str">
        <x:v>04_PROTECT_THE_FILE</x:v>
      </x:c>
    </x:row>
    <x:row r="13" ht="70" customHeight="1">
      <x:c r="A13" s="80" t="str">
        <x:v>90–100</x:v>
      </x:c>
      <x:c r="B13" s="71" t="str">
        <x:v>Review the full sequence.</x:v>
      </x:c>
      <x:c r="C13" s="139" t="str">
        <x:v>Manual → Record → Button → Protect.</x:v>
      </x:c>
      <x:c r="D13" s="170" t="str">
        <x:v>Explain back to you</x:v>
      </x:c>
      <x:c r="E13" s="71" t="str">
        <x:v>—</x:v>
      </x:c>
    </x:row>
    <x:row r="14" ht="21" customHeight="1">
      <x:c r="A14" s="6"/>
      <x:c r="B14" s="6"/>
      <x:c r="C14" s="6"/>
      <x:c r="D14" s="6"/>
      <x:c r="E14" s="6"/>
    </x:row>
    <x:row r="15" ht="21" customHeight="1">
      <x:c r="A15" s="6"/>
      <x:c r="B15" s="6"/>
      <x:c r="C15" s="6"/>
      <x:c r="D15" s="6"/>
      <x:c r="E15" s="6"/>
    </x:row>
    <x:row r="16" ht="21" customHeight="1">
      <x:c r="A16" s="6"/>
      <x:c r="B16" s="6"/>
      <x:c r="C16" s="6"/>
      <x:c r="D16" s="6"/>
      <x:c r="E16" s="6"/>
    </x:row>
    <x:row r="17" ht="21" customHeight="1">
      <x:c r="A17" s="78" t="str">
        <x:v>YOUR RULE • Do the finance task manually FIRST. Then record it. Never explain Macro theory before they feel the repetition.</x:v>
      </x:c>
      <x:c r="B17" s="78"/>
      <x:c r="C17" s="78"/>
      <x:c r="D17" s="78"/>
      <x:c r="E17" s="78"/>
    </x:row>
    <x:row r="18" ht="21" customHeight="1">
      <x:c r="A18" s="78"/>
      <x:c r="B18" s="78"/>
      <x:c r="C18" s="78"/>
      <x:c r="D18" s="78"/>
      <x:c r="E18" s="78"/>
    </x:row>
    <x:row r="19" ht="21" customHeight="1">
      <x:c r="A19" s="78"/>
      <x:c r="B19" s="78"/>
      <x:c r="C19" s="78"/>
      <x:c r="D19" s="78"/>
      <x:c r="E19" s="78"/>
    </x:row>
    <x:row r="20" ht="21" customHeight="1">
      <x:c r="A20" s="6"/>
      <x:c r="B20" s="6"/>
      <x:c r="C20" s="6"/>
      <x:c r="D20" s="6"/>
      <x:c r="E20" s="6"/>
    </x:row>
    <x:row r="21" ht="21" customHeight="1">
      <x:c r="A21" s="6"/>
      <x:c r="B21" s="6"/>
      <x:c r="C21" s="6"/>
      <x:c r="D21" s="6"/>
      <x:c r="E21" s="6"/>
    </x:row>
    <x:row r="22" ht="21" customHeight="1">
      <x:c r="A22" s="92" t="str">
        <x:v>إذا ضعت أثناء التدريب: افتح هاي الصفحة وامشِ سطر سطر.</x:v>
      </x:c>
      <x:c r="B22" s="92"/>
      <x:c r="C22" s="92"/>
      <x:c r="D22" s="92"/>
      <x:c r="E22" s="92"/>
    </x:row>
    <x:row r="23" ht="21" customHeight="1">
      <x:c r="A23" s="92"/>
      <x:c r="B23" s="92"/>
      <x:c r="C23" s="92"/>
      <x:c r="D23" s="92"/>
      <x:c r="E23" s="92"/>
    </x:row>
    <x:row r="24" ht="21" customHeight="1">
      <x:c r="A24" s="92"/>
      <x:c r="B24" s="92"/>
      <x:c r="C24" s="92"/>
      <x:c r="D24" s="92"/>
      <x:c r="E24" s="92"/>
    </x:row>
    <x:row r="25" ht="21" customHeight="1">
      <x:c r="A25" s="6"/>
      <x:c r="B25" s="6"/>
      <x:c r="C25" s="6"/>
      <x:c r="D25" s="6"/>
      <x:c r="E25" s="6"/>
    </x:row>
  </x:sheetData>
  <x:mergeCells>
    <x:mergeCell ref="A1:E2"/>
    <x:mergeCell ref="A3:E3"/>
    <x:mergeCell ref="A17:E19"/>
    <x:mergeCell ref="A22:E2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4" hidden="0" customWidth="1"/>
    <x:col min="5" max="5" width="20" hidden="0" customWidth="1"/>
    <x:col min="6" max="6" width="18" hidden="0" customWidth="1"/>
    <x:col min="7" max="7" width="18" hidden="0" customWidth="1"/>
    <x:col min="8" max="8" width="18" hidden="0" customWidth="1"/>
    <x:col min="9" max="9" width="14" hidden="0" customWidth="1"/>
  </x:cols>
  <x:sheetData>
    <x:row r="1" ht="21" customHeight="1">
      <x:c r="A1" s="144" t="str">
        <x:v>PRACTICE DATA • SYNTHETIC FINANCE / BACK OFFICE DATA</x:v>
      </x:c>
      <x:c r="B1" s="144"/>
      <x:c r="C1" s="144"/>
      <x:c r="D1" s="144"/>
      <x:c r="E1" s="144"/>
      <x:c r="F1" s="144"/>
      <x:c r="G1" s="144"/>
      <x:c r="H1" s="144"/>
      <x:c r="I1" s="144"/>
    </x:row>
    <x:row r="2" ht="21" customHeight="1">
      <x:c r="A2" s="144"/>
      <x:c r="B2" s="144"/>
      <x:c r="C2" s="144"/>
      <x:c r="D2" s="144"/>
      <x:c r="E2" s="144"/>
      <x:c r="F2" s="144"/>
      <x:c r="G2" s="144"/>
      <x:c r="H2" s="144"/>
      <x:c r="I2" s="144"/>
    </x:row>
    <x:row r="3" ht="21" customHeight="1">
      <x:c r="A3" s="19" t="str">
        <x:v>هاي البيانات اللي تستخدمها بكل أمثلة الـMacro</x:v>
      </x:c>
      <x:c r="B3" s="19"/>
      <x:c r="C3" s="19"/>
      <x:c r="D3" s="19"/>
      <x:c r="E3" s="19"/>
      <x:c r="F3" s="19"/>
      <x:c r="G3" s="19"/>
      <x:c r="H3" s="19"/>
      <x:c r="I3" s="19"/>
    </x:row>
    <x:row r="4" ht="21" customHeight="1">
      <x:c r="A4" s="6"/>
      <x:c r="B4" s="6"/>
      <x:c r="C4" s="6"/>
      <x:c r="D4" s="6"/>
      <x:c r="E4" s="6"/>
      <x:c r="F4" s="6"/>
      <x:c r="G4" s="6"/>
      <x:c r="H4" s="6"/>
      <x:c r="I4" s="6"/>
    </x:row>
    <x:row r="5" ht="21" customHeight="1">
      <x:c r="A5" s="134" t="str">
        <x:v>Filter this table manually first, then automate the same sequence.</x:v>
      </x:c>
      <x:c r="B5" s="134"/>
      <x:c r="C5" s="134"/>
      <x:c r="D5" s="134"/>
      <x:c r="E5" s="134"/>
      <x:c r="F5" s="134"/>
      <x:c r="G5" s="134"/>
      <x:c r="H5" s="134"/>
      <x:c r="I5" s="134"/>
    </x:row>
    <x:row r="6" ht="21" customHeight="1">
      <x:c r="A6" s="134"/>
      <x:c r="B6" s="134"/>
      <x:c r="C6" s="134"/>
      <x:c r="D6" s="134"/>
      <x:c r="E6" s="134"/>
      <x:c r="F6" s="134"/>
      <x:c r="G6" s="134"/>
      <x:c r="H6" s="134"/>
      <x:c r="I6" s="134"/>
    </x:row>
    <x:row r="7" ht="21" customHeight="1">
      <x:c r="A7" s="6"/>
      <x:c r="B7" s="6"/>
      <x:c r="C7" s="6"/>
      <x:c r="D7" s="6"/>
      <x:c r="E7" s="6"/>
      <x:c r="F7" s="6"/>
      <x:c r="G7" s="6"/>
      <x:c r="H7" s="6"/>
      <x:c r="I7" s="6"/>
    </x:row>
    <x:row r="8" ht="21" customHeight="1">
      <x:c r="A8" s="66" t="str">
        <x:v>Request ID</x:v>
      </x:c>
      <x:c r="B8" s="66" t="str">
        <x:v>Date</x:v>
      </x:c>
      <x:c r="C8" s="66" t="str">
        <x:v>Department</x:v>
      </x:c>
      <x:c r="D8" s="66" t="str">
        <x:v>Cost Center</x:v>
      </x:c>
      <x:c r="E8" s="66" t="str">
        <x:v>Expense Type</x:v>
      </x:c>
      <x:c r="F8" s="66" t="str">
        <x:v>Approval Status</x:v>
      </x:c>
      <x:c r="G8" s="66" t="str">
        <x:v>Requested Amount</x:v>
      </x:c>
      <x:c r="H8" s="66" t="str">
        <x:v>Budget Available</x:v>
      </x:c>
      <x:c r="I8" s="66" t="str">
        <x:v>Variance</x:v>
      </x:c>
    </x:row>
    <x:row r="9" ht="21" customHeight="1">
      <x:c r="A9" s="6" t="str">
        <x:v>REQ-0001</x:v>
      </x:c>
      <x:c r="B9" s="148" t="n">
        <x:v>46237</x:v>
      </x:c>
      <x:c r="C9" s="6" t="str">
        <x:v>Operations</x:v>
      </x:c>
      <x:c r="D9" s="6" t="str">
        <x:v>CC-110</x:v>
      </x:c>
      <x:c r="E9" s="6" t="str">
        <x:v>Maintenance</x:v>
      </x:c>
      <x:c r="F9" s="6" t="str">
        <x:v>Pending Approval</x:v>
      </x:c>
      <x:c r="G9" s="150" t="n">
        <x:v>4200</x:v>
      </x:c>
      <x:c r="H9" s="150" t="n">
        <x:v>3500</x:v>
      </x:c>
      <x:c r="I9" s="150" t="n">
        <x:v>-700</x:v>
      </x:c>
    </x:row>
    <x:row r="10" ht="21" customHeight="1">
      <x:c r="A10" s="6" t="str">
        <x:v>REQ-0002</x:v>
      </x:c>
      <x:c r="B10" s="148" t="n">
        <x:v>46239</x:v>
      </x:c>
      <x:c r="C10" s="6" t="str">
        <x:v>Finance</x:v>
      </x:c>
      <x:c r="D10" s="6" t="str">
        <x:v>CC-120</x:v>
      </x:c>
      <x:c r="E10" s="6" t="str">
        <x:v>Software</x:v>
      </x:c>
      <x:c r="F10" s="6" t="str">
        <x:v>Pending Approval</x:v>
      </x:c>
      <x:c r="G10" s="150" t="n">
        <x:v>3100</x:v>
      </x:c>
      <x:c r="H10" s="150" t="n">
        <x:v>5000</x:v>
      </x:c>
      <x:c r="I10" s="150" t="n">
        <x:v>1900</x:v>
      </x:c>
    </x:row>
    <x:row r="11" ht="21" customHeight="1">
      <x:c r="A11" s="6" t="str">
        <x:v>REQ-0003</x:v>
      </x:c>
      <x:c r="B11" s="148" t="n">
        <x:v>46240</x:v>
      </x:c>
      <x:c r="C11" s="6" t="str">
        <x:v>Network</x:v>
      </x:c>
      <x:c r="D11" s="6" t="str">
        <x:v>CC-210</x:v>
      </x:c>
      <x:c r="E11" s="6" t="str">
        <x:v>Vendor Invoice</x:v>
      </x:c>
      <x:c r="F11" s="6" t="str">
        <x:v>Pending Approval</x:v>
      </x:c>
      <x:c r="G11" s="150" t="n">
        <x:v>5700</x:v>
      </x:c>
      <x:c r="H11" s="150" t="n">
        <x:v>4800</x:v>
      </x:c>
      <x:c r="I11" s="150" t="n">
        <x:v>-900</x:v>
      </x:c>
    </x:row>
    <x:row r="12" ht="21" customHeight="1">
      <x:c r="A12" s="6" t="str">
        <x:v>REQ-0004</x:v>
      </x:c>
      <x:c r="B12" s="148" t="n">
        <x:v>46261</x:v>
      </x:c>
      <x:c r="C12" s="6" t="str">
        <x:v>Finance</x:v>
      </x:c>
      <x:c r="D12" s="6" t="str">
        <x:v>CC-120</x:v>
      </x:c>
      <x:c r="E12" s="6" t="str">
        <x:v>Marketing Expense</x:v>
      </x:c>
      <x:c r="F12" s="6" t="str">
        <x:v>Pending Approval</x:v>
      </x:c>
      <x:c r="G12" s="150" t="n">
        <x:v>4825.11</x:v>
      </x:c>
      <x:c r="H12" s="150" t="n">
        <x:v>5159.77</x:v>
      </x:c>
      <x:c r="I12" s="150" t="n">
        <x:v>334.66</x:v>
      </x:c>
    </x:row>
    <x:row r="13" ht="21" customHeight="1">
      <x:c r="A13" s="6" t="str">
        <x:v>REQ-0005</x:v>
      </x:c>
      <x:c r="B13" s="148" t="n">
        <x:v>46054</x:v>
      </x:c>
      <x:c r="C13" s="6" t="str">
        <x:v>IT</x:v>
      </x:c>
      <x:c r="D13" s="6" t="str">
        <x:v>CC-110</x:v>
      </x:c>
      <x:c r="E13" s="6" t="str">
        <x:v>Vendor Invoice</x:v>
      </x:c>
      <x:c r="F13" s="6" t="str">
        <x:v>Pending Approval</x:v>
      </x:c>
      <x:c r="G13" s="150" t="n">
        <x:v>3608.29</x:v>
      </x:c>
      <x:c r="H13" s="150" t="n">
        <x:v>2076</x:v>
      </x:c>
      <x:c r="I13" s="150" t="n">
        <x:v>-1532.29</x:v>
      </x:c>
    </x:row>
    <x:row r="14" ht="21" customHeight="1">
      <x:c r="A14" s="6" t="str">
        <x:v>REQ-0006</x:v>
      </x:c>
      <x:c r="B14" s="148" t="n">
        <x:v>46036</x:v>
      </x:c>
      <x:c r="C14" s="6" t="str">
        <x:v>Customer Care</x:v>
      </x:c>
      <x:c r="D14" s="6" t="str">
        <x:v>CC-220</x:v>
      </x:c>
      <x:c r="E14" s="6" t="str">
        <x:v>Travel</x:v>
      </x:c>
      <x:c r="F14" s="6" t="str">
        <x:v>Approved</x:v>
      </x:c>
      <x:c r="G14" s="150" t="n">
        <x:v>2967.45</x:v>
      </x:c>
      <x:c r="H14" s="150" t="n">
        <x:v>2619.73</x:v>
      </x:c>
      <x:c r="I14" s="150" t="n">
        <x:v>-347.72</x:v>
      </x:c>
    </x:row>
    <x:row r="15" ht="21" customHeight="1">
      <x:c r="A15" s="6" t="str">
        <x:v>REQ-0007</x:v>
      </x:c>
      <x:c r="B15" s="148" t="n">
        <x:v>46039</x:v>
      </x:c>
      <x:c r="C15" s="6" t="str">
        <x:v>Finance</x:v>
      </x:c>
      <x:c r="D15" s="6" t="str">
        <x:v>CC-220</x:v>
      </x:c>
      <x:c r="E15" s="6" t="str">
        <x:v>Marketing Expense</x:v>
      </x:c>
      <x:c r="F15" s="6" t="str">
        <x:v>Rejected</x:v>
      </x:c>
      <x:c r="G15" s="150" t="n">
        <x:v>5105.12</x:v>
      </x:c>
      <x:c r="H15" s="150" t="n">
        <x:v>6252.23</x:v>
      </x:c>
      <x:c r="I15" s="150" t="n">
        <x:v>1147.11</x:v>
      </x:c>
    </x:row>
    <x:row r="16" ht="21" customHeight="1">
      <x:c r="A16" s="6" t="str">
        <x:v>REQ-0008</x:v>
      </x:c>
      <x:c r="B16" s="148" t="n">
        <x:v>46213</x:v>
      </x:c>
      <x:c r="C16" s="6" t="str">
        <x:v>IT</x:v>
      </x:c>
      <x:c r="D16" s="6" t="str">
        <x:v>CC-110</x:v>
      </x:c>
      <x:c r="E16" s="6" t="str">
        <x:v>Maintenance</x:v>
      </x:c>
      <x:c r="F16" s="6" t="str">
        <x:v>Pending Approval</x:v>
      </x:c>
      <x:c r="G16" s="150" t="n">
        <x:v>1947.28</x:v>
      </x:c>
      <x:c r="H16" s="150" t="n">
        <x:v>6627.1</x:v>
      </x:c>
      <x:c r="I16" s="150" t="n">
        <x:v>4679.82</x:v>
      </x:c>
    </x:row>
    <x:row r="17" ht="21" customHeight="1">
      <x:c r="A17" s="6" t="str">
        <x:v>REQ-0009</x:v>
      </x:c>
      <x:c r="B17" s="148" t="n">
        <x:v>46156</x:v>
      </x:c>
      <x:c r="C17" s="6" t="str">
        <x:v>Network</x:v>
      </x:c>
      <x:c r="D17" s="6" t="str">
        <x:v>CC-310</x:v>
      </x:c>
      <x:c r="E17" s="6" t="str">
        <x:v>Logistics</x:v>
      </x:c>
      <x:c r="F17" s="6" t="str">
        <x:v>Pending Approval</x:v>
      </x:c>
      <x:c r="G17" s="150" t="n">
        <x:v>3296.73</x:v>
      </x:c>
      <x:c r="H17" s="150" t="n">
        <x:v>3907.06</x:v>
      </x:c>
      <x:c r="I17" s="150" t="n">
        <x:v>610.33</x:v>
      </x:c>
    </x:row>
    <x:row r="18" ht="21" customHeight="1">
      <x:c r="A18" s="6" t="str">
        <x:v>REQ-0010</x:v>
      </x:c>
      <x:c r="B18" s="148" t="n">
        <x:v>46175</x:v>
      </x:c>
      <x:c r="C18" s="6" t="str">
        <x:v>Retail</x:v>
      </x:c>
      <x:c r="D18" s="6" t="str">
        <x:v>CC-510</x:v>
      </x:c>
      <x:c r="E18" s="6" t="str">
        <x:v>Marketing Expense</x:v>
      </x:c>
      <x:c r="F18" s="6" t="str">
        <x:v>Pending Approval</x:v>
      </x:c>
      <x:c r="G18" s="150" t="n">
        <x:v>841.07</x:v>
      </x:c>
      <x:c r="H18" s="150" t="n">
        <x:v>1614.02</x:v>
      </x:c>
      <x:c r="I18" s="150" t="n">
        <x:v>772.95</x:v>
      </x:c>
    </x:row>
    <x:row r="19" ht="21" customHeight="1">
      <x:c r="A19" s="6" t="str">
        <x:v>REQ-0011</x:v>
      </x:c>
      <x:c r="B19" s="148" t="n">
        <x:v>46172</x:v>
      </x:c>
      <x:c r="C19" s="6" t="str">
        <x:v>IT</x:v>
      </x:c>
      <x:c r="D19" s="6" t="str">
        <x:v>CC-510</x:v>
      </x:c>
      <x:c r="E19" s="6" t="str">
        <x:v>Travel</x:v>
      </x:c>
      <x:c r="F19" s="6" t="str">
        <x:v>Rejected</x:v>
      </x:c>
      <x:c r="G19" s="150" t="n">
        <x:v>4457.07</x:v>
      </x:c>
      <x:c r="H19" s="150" t="n">
        <x:v>4056.61</x:v>
      </x:c>
      <x:c r="I19" s="150" t="n">
        <x:v>-400.46</x:v>
      </x:c>
    </x:row>
    <x:row r="20" ht="21" customHeight="1">
      <x:c r="A20" s="6" t="str">
        <x:v>REQ-0012</x:v>
      </x:c>
      <x:c r="B20" s="148" t="n">
        <x:v>46188</x:v>
      </x:c>
      <x:c r="C20" s="6" t="str">
        <x:v>Marketing</x:v>
      </x:c>
      <x:c r="D20" s="6" t="str">
        <x:v>CC-510</x:v>
      </x:c>
      <x:c r="E20" s="6" t="str">
        <x:v>Training</x:v>
      </x:c>
      <x:c r="F20" s="6" t="str">
        <x:v>Approved</x:v>
      </x:c>
      <x:c r="G20" s="150" t="n">
        <x:v>4264.95</x:v>
      </x:c>
      <x:c r="H20" s="150" t="n">
        <x:v>3818.92</x:v>
      </x:c>
      <x:c r="I20" s="150" t="n">
        <x:v>-446.03</x:v>
      </x:c>
    </x:row>
    <x:row r="21" ht="21" customHeight="1">
      <x:c r="A21" s="6" t="str">
        <x:v>REQ-0013</x:v>
      </x:c>
      <x:c r="B21" s="148" t="n">
        <x:v>46162</x:v>
      </x:c>
      <x:c r="C21" s="6" t="str">
        <x:v>Customer Care</x:v>
      </x:c>
      <x:c r="D21" s="6" t="str">
        <x:v>CC-220</x:v>
      </x:c>
      <x:c r="E21" s="6" t="str">
        <x:v>Training</x:v>
      </x:c>
      <x:c r="F21" s="6" t="str">
        <x:v>Pending Approval</x:v>
      </x:c>
      <x:c r="G21" s="150" t="n">
        <x:v>1032.32</x:v>
      </x:c>
      <x:c r="H21" s="150" t="n">
        <x:v>6213.55</x:v>
      </x:c>
      <x:c r="I21" s="150" t="n">
        <x:v>5181.23</x:v>
      </x:c>
    </x:row>
    <x:row r="22" ht="21" customHeight="1">
      <x:c r="A22" s="6" t="str">
        <x:v>REQ-0014</x:v>
      </x:c>
      <x:c r="B22" s="148" t="n">
        <x:v>46036</x:v>
      </x:c>
      <x:c r="C22" s="6" t="str">
        <x:v>Operations</x:v>
      </x:c>
      <x:c r="D22" s="6" t="str">
        <x:v>CC-110</x:v>
      </x:c>
      <x:c r="E22" s="6" t="str">
        <x:v>Software</x:v>
      </x:c>
      <x:c r="F22" s="6" t="str">
        <x:v>Pending Approval</x:v>
      </x:c>
      <x:c r="G22" s="150" t="n">
        <x:v>1054.57</x:v>
      </x:c>
      <x:c r="H22" s="150" t="n">
        <x:v>4501.75</x:v>
      </x:c>
      <x:c r="I22" s="150" t="n">
        <x:v>3447.18</x:v>
      </x:c>
    </x:row>
    <x:row r="23" ht="21" customHeight="1">
      <x:c r="A23" s="6" t="str">
        <x:v>REQ-0015</x:v>
      </x:c>
      <x:c r="B23" s="148" t="n">
        <x:v>46099</x:v>
      </x:c>
      <x:c r="C23" s="6" t="str">
        <x:v>HR</x:v>
      </x:c>
      <x:c r="D23" s="6" t="str">
        <x:v>CC-120</x:v>
      </x:c>
      <x:c r="E23" s="6" t="str">
        <x:v>Software</x:v>
      </x:c>
      <x:c r="F23" s="6" t="str">
        <x:v>Rejected</x:v>
      </x:c>
      <x:c r="G23" s="150" t="n">
        <x:v>6076.71</x:v>
      </x:c>
      <x:c r="H23" s="150" t="n">
        <x:v>6263.54</x:v>
      </x:c>
      <x:c r="I23" s="150" t="n">
        <x:v>186.83</x:v>
      </x:c>
    </x:row>
    <x:row r="24" ht="21" customHeight="1">
      <x:c r="A24" s="6" t="str">
        <x:v>REQ-0016</x:v>
      </x:c>
      <x:c r="B24" s="148" t="n">
        <x:v>46095</x:v>
      </x:c>
      <x:c r="C24" s="6" t="str">
        <x:v>IT</x:v>
      </x:c>
      <x:c r="D24" s="6" t="str">
        <x:v>CC-510</x:v>
      </x:c>
      <x:c r="E24" s="6" t="str">
        <x:v>Maintenance</x:v>
      </x:c>
      <x:c r="F24" s="6" t="str">
        <x:v>Rejected</x:v>
      </x:c>
      <x:c r="G24" s="150" t="n">
        <x:v>2009.97</x:v>
      </x:c>
      <x:c r="H24" s="150" t="n">
        <x:v>3066.71</x:v>
      </x:c>
      <x:c r="I24" s="150" t="n">
        <x:v>1056.74</x:v>
      </x:c>
    </x:row>
    <x:row r="25" ht="21" customHeight="1">
      <x:c r="A25" s="6" t="str">
        <x:v>REQ-0017</x:v>
      </x:c>
      <x:c r="B25" s="148" t="n">
        <x:v>46083</x:v>
      </x:c>
      <x:c r="C25" s="6" t="str">
        <x:v>Operations</x:v>
      </x:c>
      <x:c r="D25" s="6" t="str">
        <x:v>CC-220</x:v>
      </x:c>
      <x:c r="E25" s="6" t="str">
        <x:v>Maintenance</x:v>
      </x:c>
      <x:c r="F25" s="6" t="str">
        <x:v>Rejected</x:v>
      </x:c>
      <x:c r="G25" s="150" t="n">
        <x:v>4874.04</x:v>
      </x:c>
      <x:c r="H25" s="150" t="n">
        <x:v>6118.3</x:v>
      </x:c>
      <x:c r="I25" s="150" t="n">
        <x:v>1244.26</x:v>
      </x:c>
    </x:row>
    <x:row r="26" ht="21" customHeight="1">
      <x:c r="A26" s="6" t="str">
        <x:v>REQ-0018</x:v>
      </x:c>
      <x:c r="B26" s="148" t="n">
        <x:v>46124</x:v>
      </x:c>
      <x:c r="C26" s="6" t="str">
        <x:v>Retail</x:v>
      </x:c>
      <x:c r="D26" s="6" t="str">
        <x:v>CC-120</x:v>
      </x:c>
      <x:c r="E26" s="6" t="str">
        <x:v>Vendor Invoice</x:v>
      </x:c>
      <x:c r="F26" s="6" t="str">
        <x:v>Pending Approval</x:v>
      </x:c>
      <x:c r="G26" s="150" t="n">
        <x:v>2557.63</x:v>
      </x:c>
      <x:c r="H26" s="150" t="n">
        <x:v>5526.69</x:v>
      </x:c>
      <x:c r="I26" s="150" t="n">
        <x:v>2969.06</x:v>
      </x:c>
    </x:row>
    <x:row r="27" ht="21" customHeight="1">
      <x:c r="A27" s="6" t="str">
        <x:v>REQ-0019</x:v>
      </x:c>
      <x:c r="B27" s="148" t="n">
        <x:v>46168</x:v>
      </x:c>
      <x:c r="C27" s="6" t="str">
        <x:v>Customer Care</x:v>
      </x:c>
      <x:c r="D27" s="6" t="str">
        <x:v>CC-510</x:v>
      </x:c>
      <x:c r="E27" s="6" t="str">
        <x:v>Logistics</x:v>
      </x:c>
      <x:c r="F27" s="6" t="str">
        <x:v>Pending Approval</x:v>
      </x:c>
      <x:c r="G27" s="150" t="n">
        <x:v>412.37</x:v>
      </x:c>
      <x:c r="H27" s="150" t="n">
        <x:v>2104.66</x:v>
      </x:c>
      <x:c r="I27" s="150" t="n">
        <x:v>1692.29</x:v>
      </x:c>
    </x:row>
    <x:row r="28" ht="21" customHeight="1">
      <x:c r="A28" s="6" t="str">
        <x:v>REQ-0020</x:v>
      </x:c>
      <x:c r="B28" s="148" t="n">
        <x:v>46223</x:v>
      </x:c>
      <x:c r="C28" s="6" t="str">
        <x:v>Finance</x:v>
      </x:c>
      <x:c r="D28" s="6" t="str">
        <x:v>CC-220</x:v>
      </x:c>
      <x:c r="E28" s="6" t="str">
        <x:v>Marketing Expense</x:v>
      </x:c>
      <x:c r="F28" s="6" t="str">
        <x:v>Approved</x:v>
      </x:c>
      <x:c r="G28" s="150" t="n">
        <x:v>2794.35</x:v>
      </x:c>
      <x:c r="H28" s="150" t="n">
        <x:v>2052.64</x:v>
      </x:c>
      <x:c r="I28" s="150" t="n">
        <x:v>-741.71</x:v>
      </x:c>
    </x:row>
    <x:row r="29" ht="21" customHeight="1">
      <x:c r="A29" s="6" t="str">
        <x:v>REQ-0021</x:v>
      </x:c>
      <x:c r="B29" s="148" t="n">
        <x:v>46255</x:v>
      </x:c>
      <x:c r="C29" s="6" t="str">
        <x:v>HR</x:v>
      </x:c>
      <x:c r="D29" s="6" t="str">
        <x:v>CC-310</x:v>
      </x:c>
      <x:c r="E29" s="6" t="str">
        <x:v>Travel</x:v>
      </x:c>
      <x:c r="F29" s="6" t="str">
        <x:v>Pending Approval</x:v>
      </x:c>
      <x:c r="G29" s="150" t="n">
        <x:v>2740.48</x:v>
      </x:c>
      <x:c r="H29" s="150" t="n">
        <x:v>4639.1</x:v>
      </x:c>
      <x:c r="I29" s="150" t="n">
        <x:v>1898.62</x:v>
      </x:c>
    </x:row>
    <x:row r="30" ht="21" customHeight="1">
      <x:c r="A30" s="6" t="str">
        <x:v>REQ-0022</x:v>
      </x:c>
      <x:c r="B30" s="148" t="n">
        <x:v>46060</x:v>
      </x:c>
      <x:c r="C30" s="6" t="str">
        <x:v>Retail</x:v>
      </x:c>
      <x:c r="D30" s="6" t="str">
        <x:v>CC-510</x:v>
      </x:c>
      <x:c r="E30" s="6" t="str">
        <x:v>Marketing Expense</x:v>
      </x:c>
      <x:c r="F30" s="6" t="str">
        <x:v>Pending Approval</x:v>
      </x:c>
      <x:c r="G30" s="150" t="n">
        <x:v>3518.05</x:v>
      </x:c>
      <x:c r="H30" s="150" t="n">
        <x:v>5792.62</x:v>
      </x:c>
      <x:c r="I30" s="150" t="n">
        <x:v>2274.57</x:v>
      </x:c>
    </x:row>
    <x:row r="31" ht="21" customHeight="1">
      <x:c r="A31" s="6" t="str">
        <x:v>REQ-0023</x:v>
      </x:c>
      <x:c r="B31" s="148" t="n">
        <x:v>46082</x:v>
      </x:c>
      <x:c r="C31" s="6" t="str">
        <x:v>Finance</x:v>
      </x:c>
      <x:c r="D31" s="6" t="str">
        <x:v>CC-210</x:v>
      </x:c>
      <x:c r="E31" s="6" t="str">
        <x:v>Training</x:v>
      </x:c>
      <x:c r="F31" s="6" t="str">
        <x:v>Approved</x:v>
      </x:c>
      <x:c r="G31" s="150" t="n">
        <x:v>5994.34</x:v>
      </x:c>
      <x:c r="H31" s="150" t="n">
        <x:v>5635.56</x:v>
      </x:c>
      <x:c r="I31" s="150" t="n">
        <x:v>-358.78</x:v>
      </x:c>
    </x:row>
    <x:row r="32" ht="21" customHeight="1">
      <x:c r="A32" s="6" t="str">
        <x:v>REQ-0024</x:v>
      </x:c>
      <x:c r="B32" s="148" t="n">
        <x:v>46060</x:v>
      </x:c>
      <x:c r="C32" s="6" t="str">
        <x:v>Marketing</x:v>
      </x:c>
      <x:c r="D32" s="6" t="str">
        <x:v>CC-610</x:v>
      </x:c>
      <x:c r="E32" s="6" t="str">
        <x:v>Travel</x:v>
      </x:c>
      <x:c r="F32" s="6" t="str">
        <x:v>Approved</x:v>
      </x:c>
      <x:c r="G32" s="150" t="n">
        <x:v>595.71</x:v>
      </x:c>
      <x:c r="H32" s="150" t="n">
        <x:v>6408.45</x:v>
      </x:c>
      <x:c r="I32" s="150" t="n">
        <x:v>5812.74</x:v>
      </x:c>
    </x:row>
    <x:row r="33" ht="21" customHeight="1">
      <x:c r="A33" s="6" t="str">
        <x:v>REQ-0025</x:v>
      </x:c>
      <x:c r="B33" s="148" t="n">
        <x:v>46103</x:v>
      </x:c>
      <x:c r="C33" s="6" t="str">
        <x:v>Retail</x:v>
      </x:c>
      <x:c r="D33" s="6" t="str">
        <x:v>CC-610</x:v>
      </x:c>
      <x:c r="E33" s="6" t="str">
        <x:v>Logistics</x:v>
      </x:c>
      <x:c r="F33" s="6" t="str">
        <x:v>Pending Approval</x:v>
      </x:c>
      <x:c r="G33" s="150" t="n">
        <x:v>994.36</x:v>
      </x:c>
      <x:c r="H33" s="150" t="n">
        <x:v>1996.26</x:v>
      </x:c>
      <x:c r="I33" s="150" t="n">
        <x:v>1001.9</x:v>
      </x:c>
    </x:row>
    <x:row r="34" ht="21" customHeight="1">
      <x:c r="A34" s="6" t="str">
        <x:v>REQ-0026</x:v>
      </x:c>
      <x:c r="B34" s="148" t="n">
        <x:v>46048</x:v>
      </x:c>
      <x:c r="C34" s="6" t="str">
        <x:v>Marketing</x:v>
      </x:c>
      <x:c r="D34" s="6" t="str">
        <x:v>CC-110</x:v>
      </x:c>
      <x:c r="E34" s="6" t="str">
        <x:v>Vendor Invoice</x:v>
      </x:c>
      <x:c r="F34" s="6" t="str">
        <x:v>Approved</x:v>
      </x:c>
      <x:c r="G34" s="150" t="n">
        <x:v>4137.55</x:v>
      </x:c>
      <x:c r="H34" s="150" t="n">
        <x:v>2484.45</x:v>
      </x:c>
      <x:c r="I34" s="150" t="n">
        <x:v>-1653.1</x:v>
      </x:c>
    </x:row>
    <x:row r="35" ht="21" customHeight="1">
      <x:c r="A35" s="6" t="str">
        <x:v>REQ-0027</x:v>
      </x:c>
      <x:c r="B35" s="148" t="n">
        <x:v>46112</x:v>
      </x:c>
      <x:c r="C35" s="6" t="str">
        <x:v>Customer Care</x:v>
      </x:c>
      <x:c r="D35" s="6" t="str">
        <x:v>CC-310</x:v>
      </x:c>
      <x:c r="E35" s="6" t="str">
        <x:v>Office Expense</x:v>
      </x:c>
      <x:c r="F35" s="6" t="str">
        <x:v>Approved</x:v>
      </x:c>
      <x:c r="G35" s="150" t="n">
        <x:v>4097.26</x:v>
      </x:c>
      <x:c r="H35" s="150" t="n">
        <x:v>6285.2</x:v>
      </x:c>
      <x:c r="I35" s="150" t="n">
        <x:v>2187.94</x:v>
      </x:c>
    </x:row>
    <x:row r="36" ht="21" customHeight="1">
      <x:c r="A36" s="6" t="str">
        <x:v>REQ-0028</x:v>
      </x:c>
      <x:c r="B36" s="148" t="n">
        <x:v>46105</x:v>
      </x:c>
      <x:c r="C36" s="6" t="str">
        <x:v>Retail</x:v>
      </x:c>
      <x:c r="D36" s="6" t="str">
        <x:v>CC-510</x:v>
      </x:c>
      <x:c r="E36" s="6" t="str">
        <x:v>Logistics</x:v>
      </x:c>
      <x:c r="F36" s="6" t="str">
        <x:v>Approved</x:v>
      </x:c>
      <x:c r="G36" s="150" t="n">
        <x:v>650.67</x:v>
      </x:c>
      <x:c r="H36" s="150" t="n">
        <x:v>1627.55</x:v>
      </x:c>
      <x:c r="I36" s="150" t="n">
        <x:v>976.88</x:v>
      </x:c>
    </x:row>
    <x:row r="37" ht="21" customHeight="1">
      <x:c r="A37" s="6" t="str">
        <x:v>REQ-0029</x:v>
      </x:c>
      <x:c r="B37" s="148" t="n">
        <x:v>46181</x:v>
      </x:c>
      <x:c r="C37" s="6" t="str">
        <x:v>Customer Care</x:v>
      </x:c>
      <x:c r="D37" s="6" t="str">
        <x:v>CC-410</x:v>
      </x:c>
      <x:c r="E37" s="6" t="str">
        <x:v>Office Expense</x:v>
      </x:c>
      <x:c r="F37" s="6" t="str">
        <x:v>Pending Approval</x:v>
      </x:c>
      <x:c r="G37" s="150" t="n">
        <x:v>6464.45</x:v>
      </x:c>
      <x:c r="H37" s="150" t="n">
        <x:v>6611.88</x:v>
      </x:c>
      <x:c r="I37" s="150" t="n">
        <x:v>147.43</x:v>
      </x:c>
    </x:row>
    <x:row r="38" ht="21" customHeight="1">
      <x:c r="A38" s="6" t="str">
        <x:v>REQ-0030</x:v>
      </x:c>
      <x:c r="B38" s="148" t="n">
        <x:v>46177</x:v>
      </x:c>
      <x:c r="C38" s="6" t="str">
        <x:v>Operations</x:v>
      </x:c>
      <x:c r="D38" s="6" t="str">
        <x:v>CC-510</x:v>
      </x:c>
      <x:c r="E38" s="6" t="str">
        <x:v>Office Expense</x:v>
      </x:c>
      <x:c r="F38" s="6" t="str">
        <x:v>Approved</x:v>
      </x:c>
      <x:c r="G38" s="150" t="n">
        <x:v>4399.6</x:v>
      </x:c>
      <x:c r="H38" s="150" t="n">
        <x:v>2148.44</x:v>
      </x:c>
      <x:c r="I38" s="150" t="n">
        <x:v>-2251.16</x:v>
      </x:c>
    </x:row>
    <x:row r="39" ht="21" customHeight="1">
      <x:c r="A39" s="6" t="str">
        <x:v>REQ-0031</x:v>
      </x:c>
      <x:c r="B39" s="148" t="n">
        <x:v>46265</x:v>
      </x:c>
      <x:c r="C39" s="6" t="str">
        <x:v>Customer Care</x:v>
      </x:c>
      <x:c r="D39" s="6" t="str">
        <x:v>CC-410</x:v>
      </x:c>
      <x:c r="E39" s="6" t="str">
        <x:v>Marketing Expense</x:v>
      </x:c>
      <x:c r="F39" s="6" t="str">
        <x:v>Pending Approval</x:v>
      </x:c>
      <x:c r="G39" s="150" t="n">
        <x:v>4886.08</x:v>
      </x:c>
      <x:c r="H39" s="150" t="n">
        <x:v>6415.3</x:v>
      </x:c>
      <x:c r="I39" s="150" t="n">
        <x:v>1529.22</x:v>
      </x:c>
    </x:row>
    <x:row r="40" ht="21" customHeight="1">
      <x:c r="A40" s="6" t="str">
        <x:v>REQ-0032</x:v>
      </x:c>
      <x:c r="B40" s="148" t="n">
        <x:v>46233</x:v>
      </x:c>
      <x:c r="C40" s="6" t="str">
        <x:v>Finance</x:v>
      </x:c>
      <x:c r="D40" s="6" t="str">
        <x:v>CC-310</x:v>
      </x:c>
      <x:c r="E40" s="6" t="str">
        <x:v>Logistics</x:v>
      </x:c>
      <x:c r="F40" s="6" t="str">
        <x:v>Approved</x:v>
      </x:c>
      <x:c r="G40" s="150" t="n">
        <x:v>3817.62</x:v>
      </x:c>
      <x:c r="H40" s="150" t="n">
        <x:v>4958.56</x:v>
      </x:c>
      <x:c r="I40" s="150" t="n">
        <x:v>1140.94</x:v>
      </x:c>
    </x:row>
    <x:row r="41" ht="21" customHeight="1">
      <x:c r="A41" s="6" t="str">
        <x:v>REQ-0033</x:v>
      </x:c>
      <x:c r="B41" s="148" t="n">
        <x:v>46242</x:v>
      </x:c>
      <x:c r="C41" s="6" t="str">
        <x:v>Retail</x:v>
      </x:c>
      <x:c r="D41" s="6" t="str">
        <x:v>CC-510</x:v>
      </x:c>
      <x:c r="E41" s="6" t="str">
        <x:v>Maintenance</x:v>
      </x:c>
      <x:c r="F41" s="6" t="str">
        <x:v>Pending Approval</x:v>
      </x:c>
      <x:c r="G41" s="150" t="n">
        <x:v>4246.52</x:v>
      </x:c>
      <x:c r="H41" s="150" t="n">
        <x:v>3908.34</x:v>
      </x:c>
      <x:c r="I41" s="150" t="n">
        <x:v>-338.18</x:v>
      </x:c>
    </x:row>
    <x:row r="42" ht="21" customHeight="1">
      <x:c r="A42" s="6" t="str">
        <x:v>REQ-0034</x:v>
      </x:c>
      <x:c r="B42" s="148" t="n">
        <x:v>46129</x:v>
      </x:c>
      <x:c r="C42" s="6" t="str">
        <x:v>Network</x:v>
      </x:c>
      <x:c r="D42" s="6" t="str">
        <x:v>CC-510</x:v>
      </x:c>
      <x:c r="E42" s="6" t="str">
        <x:v>Marketing Expense</x:v>
      </x:c>
      <x:c r="F42" s="6" t="str">
        <x:v>Approved</x:v>
      </x:c>
      <x:c r="G42" s="150" t="n">
        <x:v>2971.43</x:v>
      </x:c>
      <x:c r="H42" s="150" t="n">
        <x:v>5380.79</x:v>
      </x:c>
      <x:c r="I42" s="150" t="n">
        <x:v>2409.36</x:v>
      </x:c>
    </x:row>
    <x:row r="43" ht="21" customHeight="1">
      <x:c r="A43" s="6" t="str">
        <x:v>REQ-0035</x:v>
      </x:c>
      <x:c r="B43" s="148" t="n">
        <x:v>46023</x:v>
      </x:c>
      <x:c r="C43" s="6" t="str">
        <x:v>HR</x:v>
      </x:c>
      <x:c r="D43" s="6" t="str">
        <x:v>CC-120</x:v>
      </x:c>
      <x:c r="E43" s="6" t="str">
        <x:v>Office Expense</x:v>
      </x:c>
      <x:c r="F43" s="6" t="str">
        <x:v>Pending Approval</x:v>
      </x:c>
      <x:c r="G43" s="150" t="n">
        <x:v>1040</x:v>
      </x:c>
      <x:c r="H43" s="150" t="n">
        <x:v>2530.59</x:v>
      </x:c>
      <x:c r="I43" s="150" t="n">
        <x:v>1490.59</x:v>
      </x:c>
    </x:row>
    <x:row r="44" ht="21" customHeight="1">
      <x:c r="A44" s="6" t="str">
        <x:v>REQ-0036</x:v>
      </x:c>
      <x:c r="B44" s="148" t="n">
        <x:v>46215</x:v>
      </x:c>
      <x:c r="C44" s="6" t="str">
        <x:v>IT</x:v>
      </x:c>
      <x:c r="D44" s="6" t="str">
        <x:v>CC-120</x:v>
      </x:c>
      <x:c r="E44" s="6" t="str">
        <x:v>Training</x:v>
      </x:c>
      <x:c r="F44" s="6" t="str">
        <x:v>Pending Approval</x:v>
      </x:c>
      <x:c r="G44" s="150" t="n">
        <x:v>5047.83</x:v>
      </x:c>
      <x:c r="H44" s="150" t="n">
        <x:v>5728.55</x:v>
      </x:c>
      <x:c r="I44" s="150" t="n">
        <x:v>680.72</x:v>
      </x:c>
    </x:row>
    <x:row r="45" ht="21" customHeight="1">
      <x:c r="A45" s="6" t="str">
        <x:v>REQ-0037</x:v>
      </x:c>
      <x:c r="B45" s="148" t="n">
        <x:v>46042</x:v>
      </x:c>
      <x:c r="C45" s="6" t="str">
        <x:v>Operations</x:v>
      </x:c>
      <x:c r="D45" s="6" t="str">
        <x:v>CC-410</x:v>
      </x:c>
      <x:c r="E45" s="6" t="str">
        <x:v>Maintenance</x:v>
      </x:c>
      <x:c r="F45" s="6" t="str">
        <x:v>Pending Approval</x:v>
      </x:c>
      <x:c r="G45" s="150" t="n">
        <x:v>6054.93</x:v>
      </x:c>
      <x:c r="H45" s="150" t="n">
        <x:v>3997.86</x:v>
      </x:c>
      <x:c r="I45" s="150" t="n">
        <x:v>-2057.07</x:v>
      </x:c>
    </x:row>
    <x:row r="46" ht="21" customHeight="1">
      <x:c r="A46" s="6" t="str">
        <x:v>REQ-0038</x:v>
      </x:c>
      <x:c r="B46" s="148" t="n">
        <x:v>46199</x:v>
      </x:c>
      <x:c r="C46" s="6" t="str">
        <x:v>Network</x:v>
      </x:c>
      <x:c r="D46" s="6" t="str">
        <x:v>CC-210</x:v>
      </x:c>
      <x:c r="E46" s="6" t="str">
        <x:v>Training</x:v>
      </x:c>
      <x:c r="F46" s="6" t="str">
        <x:v>Rejected</x:v>
      </x:c>
      <x:c r="G46" s="150" t="n">
        <x:v>4201.18</x:v>
      </x:c>
      <x:c r="H46" s="150" t="n">
        <x:v>4354.01</x:v>
      </x:c>
      <x:c r="I46" s="150" t="n">
        <x:v>152.83</x:v>
      </x:c>
    </x:row>
    <x:row r="47" ht="21" customHeight="1">
      <x:c r="A47" s="6" t="str">
        <x:v>REQ-0039</x:v>
      </x:c>
      <x:c r="B47" s="148" t="n">
        <x:v>46209</x:v>
      </x:c>
      <x:c r="C47" s="6" t="str">
        <x:v>Retail</x:v>
      </x:c>
      <x:c r="D47" s="6" t="str">
        <x:v>CC-310</x:v>
      </x:c>
      <x:c r="E47" s="6" t="str">
        <x:v>Office Expense</x:v>
      </x:c>
      <x:c r="F47" s="6" t="str">
        <x:v>Approved</x:v>
      </x:c>
      <x:c r="G47" s="150" t="n">
        <x:v>4051.57</x:v>
      </x:c>
      <x:c r="H47" s="150" t="n">
        <x:v>5548.7</x:v>
      </x:c>
      <x:c r="I47" s="150" t="n">
        <x:v>1497.13</x:v>
      </x:c>
    </x:row>
    <x:row r="48" ht="21" customHeight="1">
      <x:c r="A48" s="6" t="str">
        <x:v>REQ-0040</x:v>
      </x:c>
      <x:c r="B48" s="148" t="n">
        <x:v>46265</x:v>
      </x:c>
      <x:c r="C48" s="6" t="str">
        <x:v>Finance</x:v>
      </x:c>
      <x:c r="D48" s="6" t="str">
        <x:v>CC-410</x:v>
      </x:c>
      <x:c r="E48" s="6" t="str">
        <x:v>Office Expense</x:v>
      </x:c>
      <x:c r="F48" s="6" t="str">
        <x:v>Approved</x:v>
      </x:c>
      <x:c r="G48" s="150" t="n">
        <x:v>4627.34</x:v>
      </x:c>
      <x:c r="H48" s="150" t="n">
        <x:v>3108.33</x:v>
      </x:c>
      <x:c r="I48" s="150" t="n">
        <x:v>-1519.01</x:v>
      </x:c>
    </x:row>
    <x:row r="49" ht="21" customHeight="1">
      <x:c r="A49" s="6" t="str">
        <x:v>REQ-0041</x:v>
      </x:c>
      <x:c r="B49" s="148" t="n">
        <x:v>46049</x:v>
      </x:c>
      <x:c r="C49" s="6" t="str">
        <x:v>Retail</x:v>
      </x:c>
      <x:c r="D49" s="6" t="str">
        <x:v>CC-220</x:v>
      </x:c>
      <x:c r="E49" s="6" t="str">
        <x:v>Vendor Invoice</x:v>
      </x:c>
      <x:c r="F49" s="6" t="str">
        <x:v>Approved</x:v>
      </x:c>
      <x:c r="G49" s="150" t="n">
        <x:v>3764.28</x:v>
      </x:c>
      <x:c r="H49" s="150" t="n">
        <x:v>5201.82</x:v>
      </x:c>
      <x:c r="I49" s="150" t="n">
        <x:v>1437.54</x:v>
      </x:c>
    </x:row>
    <x:row r="50" ht="21" customHeight="1">
      <x:c r="A50" s="6" t="str">
        <x:v>REQ-0042</x:v>
      </x:c>
      <x:c r="B50" s="148" t="n">
        <x:v>46167</x:v>
      </x:c>
      <x:c r="C50" s="6" t="str">
        <x:v>IT</x:v>
      </x:c>
      <x:c r="D50" s="6" t="str">
        <x:v>CC-220</x:v>
      </x:c>
      <x:c r="E50" s="6" t="str">
        <x:v>Travel</x:v>
      </x:c>
      <x:c r="F50" s="6" t="str">
        <x:v>Rejected</x:v>
      </x:c>
      <x:c r="G50" s="150" t="n">
        <x:v>4222.19</x:v>
      </x:c>
      <x:c r="H50" s="150" t="n">
        <x:v>6419.88</x:v>
      </x:c>
      <x:c r="I50" s="150" t="n">
        <x:v>2197.69</x:v>
      </x:c>
    </x:row>
    <x:row r="51" ht="21" customHeight="1">
      <x:c r="A51" s="6" t="str">
        <x:v>REQ-0043</x:v>
      </x:c>
      <x:c r="B51" s="148" t="n">
        <x:v>46217</x:v>
      </x:c>
      <x:c r="C51" s="6" t="str">
        <x:v>Operations</x:v>
      </x:c>
      <x:c r="D51" s="6" t="str">
        <x:v>CC-120</x:v>
      </x:c>
      <x:c r="E51" s="6" t="str">
        <x:v>Office Expense</x:v>
      </x:c>
      <x:c r="F51" s="6" t="str">
        <x:v>Rejected</x:v>
      </x:c>
      <x:c r="G51" s="150" t="n">
        <x:v>1157.63</x:v>
      </x:c>
      <x:c r="H51" s="150" t="n">
        <x:v>1860.43</x:v>
      </x:c>
      <x:c r="I51" s="150" t="n">
        <x:v>702.8</x:v>
      </x:c>
    </x:row>
    <x:row r="52" ht="21" customHeight="1">
      <x:c r="A52" s="6" t="str">
        <x:v>REQ-0044</x:v>
      </x:c>
      <x:c r="B52" s="148" t="n">
        <x:v>46086</x:v>
      </x:c>
      <x:c r="C52" s="6" t="str">
        <x:v>Network</x:v>
      </x:c>
      <x:c r="D52" s="6" t="str">
        <x:v>CC-410</x:v>
      </x:c>
      <x:c r="E52" s="6" t="str">
        <x:v>Vendor Invoice</x:v>
      </x:c>
      <x:c r="F52" s="6" t="str">
        <x:v>Approved</x:v>
      </x:c>
      <x:c r="G52" s="150" t="n">
        <x:v>3467.34</x:v>
      </x:c>
      <x:c r="H52" s="150" t="n">
        <x:v>2198.35</x:v>
      </x:c>
      <x:c r="I52" s="150" t="n">
        <x:v>-1268.99</x:v>
      </x:c>
    </x:row>
    <x:row r="53" ht="21" customHeight="1">
      <x:c r="A53" s="6" t="str">
        <x:v>REQ-0045</x:v>
      </x:c>
      <x:c r="B53" s="148" t="n">
        <x:v>46152</x:v>
      </x:c>
      <x:c r="C53" s="6" t="str">
        <x:v>Retail</x:v>
      </x:c>
      <x:c r="D53" s="6" t="str">
        <x:v>CC-210</x:v>
      </x:c>
      <x:c r="E53" s="6" t="str">
        <x:v>Maintenance</x:v>
      </x:c>
      <x:c r="F53" s="6" t="str">
        <x:v>Pending Approval</x:v>
      </x:c>
      <x:c r="G53" s="150" t="n">
        <x:v>5422.32</x:v>
      </x:c>
      <x:c r="H53" s="150" t="n">
        <x:v>2350.27</x:v>
      </x:c>
      <x:c r="I53" s="150" t="n">
        <x:v>-3072.05</x:v>
      </x:c>
    </x:row>
    <x:row r="54" ht="21" customHeight="1">
      <x:c r="A54" s="6" t="str">
        <x:v>REQ-0046</x:v>
      </x:c>
      <x:c r="B54" s="148" t="n">
        <x:v>46234</x:v>
      </x:c>
      <x:c r="C54" s="6" t="str">
        <x:v>Customer Care</x:v>
      </x:c>
      <x:c r="D54" s="6" t="str">
        <x:v>CC-410</x:v>
      </x:c>
      <x:c r="E54" s="6" t="str">
        <x:v>Maintenance</x:v>
      </x:c>
      <x:c r="F54" s="6" t="str">
        <x:v>Rejected</x:v>
      </x:c>
      <x:c r="G54" s="150" t="n">
        <x:v>1464.86</x:v>
      </x:c>
      <x:c r="H54" s="150" t="n">
        <x:v>6323.09</x:v>
      </x:c>
      <x:c r="I54" s="150" t="n">
        <x:v>4858.23</x:v>
      </x:c>
    </x:row>
    <x:row r="55" ht="21" customHeight="1">
      <x:c r="A55" s="6" t="str">
        <x:v>REQ-0047</x:v>
      </x:c>
      <x:c r="B55" s="148" t="n">
        <x:v>46071</x:v>
      </x:c>
      <x:c r="C55" s="6" t="str">
        <x:v>HR</x:v>
      </x:c>
      <x:c r="D55" s="6" t="str">
        <x:v>CC-120</x:v>
      </x:c>
      <x:c r="E55" s="6" t="str">
        <x:v>Travel</x:v>
      </x:c>
      <x:c r="F55" s="6" t="str">
        <x:v>Approved</x:v>
      </x:c>
      <x:c r="G55" s="150" t="n">
        <x:v>2642.47</x:v>
      </x:c>
      <x:c r="H55" s="150" t="n">
        <x:v>1710.2</x:v>
      </x:c>
      <x:c r="I55" s="150" t="n">
        <x:v>-932.27</x:v>
      </x:c>
    </x:row>
    <x:row r="56" ht="21" customHeight="1">
      <x:c r="A56" s="6" t="str">
        <x:v>REQ-0048</x:v>
      </x:c>
      <x:c r="B56" s="148" t="n">
        <x:v>46225</x:v>
      </x:c>
      <x:c r="C56" s="6" t="str">
        <x:v>HR</x:v>
      </x:c>
      <x:c r="D56" s="6" t="str">
        <x:v>CC-510</x:v>
      </x:c>
      <x:c r="E56" s="6" t="str">
        <x:v>Logistics</x:v>
      </x:c>
      <x:c r="F56" s="6" t="str">
        <x:v>Approved</x:v>
      </x:c>
      <x:c r="G56" s="150" t="n">
        <x:v>4570.07</x:v>
      </x:c>
      <x:c r="H56" s="150" t="n">
        <x:v>3301.88</x:v>
      </x:c>
      <x:c r="I56" s="150" t="n">
        <x:v>-1268.19</x:v>
      </x:c>
    </x:row>
    <x:row r="57" ht="21" customHeight="1">
      <x:c r="A57" s="6" t="str">
        <x:v>REQ-0049</x:v>
      </x:c>
      <x:c r="B57" s="148" t="n">
        <x:v>46243</x:v>
      </x:c>
      <x:c r="C57" s="6" t="str">
        <x:v>Network</x:v>
      </x:c>
      <x:c r="D57" s="6" t="str">
        <x:v>CC-210</x:v>
      </x:c>
      <x:c r="E57" s="6" t="str">
        <x:v>Travel</x:v>
      </x:c>
      <x:c r="F57" s="6" t="str">
        <x:v>Pending Approval</x:v>
      </x:c>
      <x:c r="G57" s="150" t="n">
        <x:v>5960.12</x:v>
      </x:c>
      <x:c r="H57" s="150" t="n">
        <x:v>4684.15</x:v>
      </x:c>
      <x:c r="I57" s="150" t="n">
        <x:v>-1275.97</x:v>
      </x:c>
    </x:row>
    <x:row r="58" ht="21" customHeight="1">
      <x:c r="A58" s="6" t="str">
        <x:v>REQ-0050</x:v>
      </x:c>
      <x:c r="B58" s="148" t="n">
        <x:v>46167</x:v>
      </x:c>
      <x:c r="C58" s="6" t="str">
        <x:v>IT</x:v>
      </x:c>
      <x:c r="D58" s="6" t="str">
        <x:v>CC-610</x:v>
      </x:c>
      <x:c r="E58" s="6" t="str">
        <x:v>Maintenance</x:v>
      </x:c>
      <x:c r="F58" s="6" t="str">
        <x:v>Rejected</x:v>
      </x:c>
      <x:c r="G58" s="150" t="n">
        <x:v>3896.52</x:v>
      </x:c>
      <x:c r="H58" s="150" t="n">
        <x:v>3751.5</x:v>
      </x:c>
      <x:c r="I58" s="150" t="n">
        <x:v>-145.02</x:v>
      </x:c>
    </x:row>
    <x:row r="59" ht="21" customHeight="1">
      <x:c r="A59" s="6" t="str">
        <x:v>REQ-0051</x:v>
      </x:c>
      <x:c r="B59" s="148" t="n">
        <x:v>46036</x:v>
      </x:c>
      <x:c r="C59" s="6" t="str">
        <x:v>Finance</x:v>
      </x:c>
      <x:c r="D59" s="6" t="str">
        <x:v>CC-210</x:v>
      </x:c>
      <x:c r="E59" s="6" t="str">
        <x:v>Maintenance</x:v>
      </x:c>
      <x:c r="F59" s="6" t="str">
        <x:v>Pending Approval</x:v>
      </x:c>
      <x:c r="G59" s="150" t="n">
        <x:v>4821.6</x:v>
      </x:c>
      <x:c r="H59" s="150" t="n">
        <x:v>3583.65</x:v>
      </x:c>
      <x:c r="I59" s="150" t="n">
        <x:v>-1237.95</x:v>
      </x:c>
    </x:row>
    <x:row r="60" ht="21" customHeight="1">
      <x:c r="A60" s="6" t="str">
        <x:v>REQ-0052</x:v>
      </x:c>
      <x:c r="B60" s="148" t="n">
        <x:v>46198</x:v>
      </x:c>
      <x:c r="C60" s="6" t="str">
        <x:v>Marketing</x:v>
      </x:c>
      <x:c r="D60" s="6" t="str">
        <x:v>CC-220</x:v>
      </x:c>
      <x:c r="E60" s="6" t="str">
        <x:v>Travel</x:v>
      </x:c>
      <x:c r="F60" s="6" t="str">
        <x:v>Approved</x:v>
      </x:c>
      <x:c r="G60" s="150" t="n">
        <x:v>5381.45</x:v>
      </x:c>
      <x:c r="H60" s="150" t="n">
        <x:v>1720.12</x:v>
      </x:c>
      <x:c r="I60" s="150" t="n">
        <x:v>-3661.33</x:v>
      </x:c>
    </x:row>
    <x:row r="61" ht="21" customHeight="1">
      <x:c r="A61" s="6" t="str">
        <x:v>REQ-0053</x:v>
      </x:c>
      <x:c r="B61" s="148" t="n">
        <x:v>46261</x:v>
      </x:c>
      <x:c r="C61" s="6" t="str">
        <x:v>Customer Care</x:v>
      </x:c>
      <x:c r="D61" s="6" t="str">
        <x:v>CC-610</x:v>
      </x:c>
      <x:c r="E61" s="6" t="str">
        <x:v>Travel</x:v>
      </x:c>
      <x:c r="F61" s="6" t="str">
        <x:v>Pending Approval</x:v>
      </x:c>
      <x:c r="G61" s="150" t="n">
        <x:v>4158.07</x:v>
      </x:c>
      <x:c r="H61" s="150" t="n">
        <x:v>2884.86</x:v>
      </x:c>
      <x:c r="I61" s="150" t="n">
        <x:v>-1273.21</x:v>
      </x:c>
    </x:row>
    <x:row r="62" ht="21" customHeight="1">
      <x:c r="A62" s="6" t="str">
        <x:v>REQ-0054</x:v>
      </x:c>
      <x:c r="B62" s="148" t="n">
        <x:v>46197</x:v>
      </x:c>
      <x:c r="C62" s="6" t="str">
        <x:v>Retail</x:v>
      </x:c>
      <x:c r="D62" s="6" t="str">
        <x:v>CC-610</x:v>
      </x:c>
      <x:c r="E62" s="6" t="str">
        <x:v>Office Expense</x:v>
      </x:c>
      <x:c r="F62" s="6" t="str">
        <x:v>Rejected</x:v>
      </x:c>
      <x:c r="G62" s="150" t="n">
        <x:v>4640.33</x:v>
      </x:c>
      <x:c r="H62" s="150" t="n">
        <x:v>6801.87</x:v>
      </x:c>
      <x:c r="I62" s="150" t="n">
        <x:v>2161.54</x:v>
      </x:c>
    </x:row>
    <x:row r="63" ht="21" customHeight="1">
      <x:c r="A63" s="6" t="str">
        <x:v>REQ-0055</x:v>
      </x:c>
      <x:c r="B63" s="148" t="n">
        <x:v>46184</x:v>
      </x:c>
      <x:c r="C63" s="6" t="str">
        <x:v>Finance</x:v>
      </x:c>
      <x:c r="D63" s="6" t="str">
        <x:v>CC-510</x:v>
      </x:c>
      <x:c r="E63" s="6" t="str">
        <x:v>Software</x:v>
      </x:c>
      <x:c r="F63" s="6" t="str">
        <x:v>Pending Approval</x:v>
      </x:c>
      <x:c r="G63" s="150" t="n">
        <x:v>3133.44</x:v>
      </x:c>
      <x:c r="H63" s="150" t="n">
        <x:v>2458.3</x:v>
      </x:c>
      <x:c r="I63" s="150" t="n">
        <x:v>-675.14</x:v>
      </x:c>
    </x:row>
    <x:row r="64" ht="21" customHeight="1">
      <x:c r="A64" s="6" t="str">
        <x:v>REQ-0056</x:v>
      </x:c>
      <x:c r="B64" s="148" t="n">
        <x:v>46095</x:v>
      </x:c>
      <x:c r="C64" s="6" t="str">
        <x:v>HR</x:v>
      </x:c>
      <x:c r="D64" s="6" t="str">
        <x:v>CC-110</x:v>
      </x:c>
      <x:c r="E64" s="6" t="str">
        <x:v>Logistics</x:v>
      </x:c>
      <x:c r="F64" s="6" t="str">
        <x:v>Approved</x:v>
      </x:c>
      <x:c r="G64" s="150" t="n">
        <x:v>1282.19</x:v>
      </x:c>
      <x:c r="H64" s="150" t="n">
        <x:v>2848.95</x:v>
      </x:c>
      <x:c r="I64" s="150" t="n">
        <x:v>1566.76</x:v>
      </x:c>
    </x:row>
    <x:row r="65" ht="21" customHeight="1">
      <x:c r="A65" s="6" t="str">
        <x:v>REQ-0057</x:v>
      </x:c>
      <x:c r="B65" s="148" t="n">
        <x:v>46052</x:v>
      </x:c>
      <x:c r="C65" s="6" t="str">
        <x:v>Network</x:v>
      </x:c>
      <x:c r="D65" s="6" t="str">
        <x:v>CC-110</x:v>
      </x:c>
      <x:c r="E65" s="6" t="str">
        <x:v>Travel</x:v>
      </x:c>
      <x:c r="F65" s="6" t="str">
        <x:v>Pending Approval</x:v>
      </x:c>
      <x:c r="G65" s="150" t="n">
        <x:v>6402.22</x:v>
      </x:c>
      <x:c r="H65" s="150" t="n">
        <x:v>3331.89</x:v>
      </x:c>
      <x:c r="I65" s="150" t="n">
        <x:v>-3070.33</x:v>
      </x:c>
    </x:row>
    <x:row r="66" ht="21" customHeight="1">
      <x:c r="A66" s="6" t="str">
        <x:v>REQ-0058</x:v>
      </x:c>
      <x:c r="B66" s="148" t="n">
        <x:v>46048</x:v>
      </x:c>
      <x:c r="C66" s="6" t="str">
        <x:v>Finance</x:v>
      </x:c>
      <x:c r="D66" s="6" t="str">
        <x:v>CC-220</x:v>
      </x:c>
      <x:c r="E66" s="6" t="str">
        <x:v>Training</x:v>
      </x:c>
      <x:c r="F66" s="6" t="str">
        <x:v>Pending Approval</x:v>
      </x:c>
      <x:c r="G66" s="150" t="n">
        <x:v>2293.37</x:v>
      </x:c>
      <x:c r="H66" s="150" t="n">
        <x:v>4066.99</x:v>
      </x:c>
      <x:c r="I66" s="150" t="n">
        <x:v>1773.62</x:v>
      </x:c>
    </x:row>
    <x:row r="67" ht="21" customHeight="1">
      <x:c r="A67" s="6" t="str">
        <x:v>REQ-0059</x:v>
      </x:c>
      <x:c r="B67" s="148" t="n">
        <x:v>46053</x:v>
      </x:c>
      <x:c r="C67" s="6" t="str">
        <x:v>HR</x:v>
      </x:c>
      <x:c r="D67" s="6" t="str">
        <x:v>CC-410</x:v>
      </x:c>
      <x:c r="E67" s="6" t="str">
        <x:v>Marketing Expense</x:v>
      </x:c>
      <x:c r="F67" s="6" t="str">
        <x:v>Pending Approval</x:v>
      </x:c>
      <x:c r="G67" s="150" t="n">
        <x:v>5077.64</x:v>
      </x:c>
      <x:c r="H67" s="150" t="n">
        <x:v>3327.58</x:v>
      </x:c>
      <x:c r="I67" s="150" t="n">
        <x:v>-1750.06</x:v>
      </x:c>
    </x:row>
    <x:row r="68" ht="21" customHeight="1">
      <x:c r="A68" s="6" t="str">
        <x:v>REQ-0060</x:v>
      </x:c>
      <x:c r="B68" s="148" t="n">
        <x:v>46141</x:v>
      </x:c>
      <x:c r="C68" s="6" t="str">
        <x:v>Customer Care</x:v>
      </x:c>
      <x:c r="D68" s="6" t="str">
        <x:v>CC-510</x:v>
      </x:c>
      <x:c r="E68" s="6" t="str">
        <x:v>Software</x:v>
      </x:c>
      <x:c r="F68" s="6" t="str">
        <x:v>Pending Approval</x:v>
      </x:c>
      <x:c r="G68" s="150" t="n">
        <x:v>5550.03</x:v>
      </x:c>
      <x:c r="H68" s="150" t="n">
        <x:v>6881.24</x:v>
      </x:c>
      <x:c r="I68" s="150" t="n">
        <x:v>1331.21</x:v>
      </x:c>
    </x:row>
    <x:row r="69" ht="21" customHeight="1">
      <x:c r="A69" s="6" t="str">
        <x:v>REQ-0061</x:v>
      </x:c>
      <x:c r="B69" s="148" t="n">
        <x:v>46261</x:v>
      </x:c>
      <x:c r="C69" s="6" t="str">
        <x:v>Operations</x:v>
      </x:c>
      <x:c r="D69" s="6" t="str">
        <x:v>CC-610</x:v>
      </x:c>
      <x:c r="E69" s="6" t="str">
        <x:v>Marketing Expense</x:v>
      </x:c>
      <x:c r="F69" s="6" t="str">
        <x:v>Approved</x:v>
      </x:c>
      <x:c r="G69" s="150" t="n">
        <x:v>5796.25</x:v>
      </x:c>
      <x:c r="H69" s="150" t="n">
        <x:v>1554.3</x:v>
      </x:c>
      <x:c r="I69" s="150" t="n">
        <x:v>-4241.95</x:v>
      </x:c>
    </x:row>
    <x:row r="70" ht="21" customHeight="1">
      <x:c r="A70" s="6" t="str">
        <x:v>REQ-0062</x:v>
      </x:c>
      <x:c r="B70" s="148" t="n">
        <x:v>46157</x:v>
      </x:c>
      <x:c r="C70" s="6" t="str">
        <x:v>Customer Care</x:v>
      </x:c>
      <x:c r="D70" s="6" t="str">
        <x:v>CC-610</x:v>
      </x:c>
      <x:c r="E70" s="6" t="str">
        <x:v>Travel</x:v>
      </x:c>
      <x:c r="F70" s="6" t="str">
        <x:v>Approved</x:v>
      </x:c>
      <x:c r="G70" s="150" t="n">
        <x:v>1165.94</x:v>
      </x:c>
      <x:c r="H70" s="150" t="n">
        <x:v>3945.63</x:v>
      </x:c>
      <x:c r="I70" s="150" t="n">
        <x:v>2779.69</x:v>
      </x:c>
    </x:row>
    <x:row r="71" ht="21" customHeight="1">
      <x:c r="A71" s="6" t="str">
        <x:v>REQ-0063</x:v>
      </x:c>
      <x:c r="B71" s="148" t="n">
        <x:v>46030</x:v>
      </x:c>
      <x:c r="C71" s="6" t="str">
        <x:v>HR</x:v>
      </x:c>
      <x:c r="D71" s="6" t="str">
        <x:v>CC-210</x:v>
      </x:c>
      <x:c r="E71" s="6" t="str">
        <x:v>Maintenance</x:v>
      </x:c>
      <x:c r="F71" s="6" t="str">
        <x:v>Pending Approval</x:v>
      </x:c>
      <x:c r="G71" s="150" t="n">
        <x:v>584.88</x:v>
      </x:c>
      <x:c r="H71" s="150" t="n">
        <x:v>6909.37</x:v>
      </x:c>
      <x:c r="I71" s="150" t="n">
        <x:v>6324.49</x:v>
      </x:c>
    </x:row>
    <x:row r="72" ht="21" customHeight="1">
      <x:c r="A72" s="6" t="str">
        <x:v>REQ-0064</x:v>
      </x:c>
      <x:c r="B72" s="148" t="n">
        <x:v>46224</x:v>
      </x:c>
      <x:c r="C72" s="6" t="str">
        <x:v>Network</x:v>
      </x:c>
      <x:c r="D72" s="6" t="str">
        <x:v>CC-210</x:v>
      </x:c>
      <x:c r="E72" s="6" t="str">
        <x:v>Office Expense</x:v>
      </x:c>
      <x:c r="F72" s="6" t="str">
        <x:v>Approved</x:v>
      </x:c>
      <x:c r="G72" s="150" t="n">
        <x:v>2291.34</x:v>
      </x:c>
      <x:c r="H72" s="150" t="n">
        <x:v>5192.77</x:v>
      </x:c>
      <x:c r="I72" s="150" t="n">
        <x:v>2901.43</x:v>
      </x:c>
    </x:row>
    <x:row r="73" ht="21" customHeight="1">
      <x:c r="A73" s="6" t="str">
        <x:v>REQ-0065</x:v>
      </x:c>
      <x:c r="B73" s="148" t="n">
        <x:v>46142</x:v>
      </x:c>
      <x:c r="C73" s="6" t="str">
        <x:v>IT</x:v>
      </x:c>
      <x:c r="D73" s="6" t="str">
        <x:v>CC-210</x:v>
      </x:c>
      <x:c r="E73" s="6" t="str">
        <x:v>Vendor Invoice</x:v>
      </x:c>
      <x:c r="F73" s="6" t="str">
        <x:v>Rejected</x:v>
      </x:c>
      <x:c r="G73" s="150" t="n">
        <x:v>5554.2</x:v>
      </x:c>
      <x:c r="H73" s="150" t="n">
        <x:v>2315.99</x:v>
      </x:c>
      <x:c r="I73" s="150" t="n">
        <x:v>-3238.21</x:v>
      </x:c>
    </x:row>
    <x:row r="74" ht="21" customHeight="1">
      <x:c r="A74" s="6" t="str">
        <x:v>REQ-0066</x:v>
      </x:c>
      <x:c r="B74" s="148" t="n">
        <x:v>46175</x:v>
      </x:c>
      <x:c r="C74" s="6" t="str">
        <x:v>IT</x:v>
      </x:c>
      <x:c r="D74" s="6" t="str">
        <x:v>CC-410</x:v>
      </x:c>
      <x:c r="E74" s="6" t="str">
        <x:v>Vendor Invoice</x:v>
      </x:c>
      <x:c r="F74" s="6" t="str">
        <x:v>Approved</x:v>
      </x:c>
      <x:c r="G74" s="150" t="n">
        <x:v>3868.14</x:v>
      </x:c>
      <x:c r="H74" s="150" t="n">
        <x:v>6890.27</x:v>
      </x:c>
      <x:c r="I74" s="150" t="n">
        <x:v>3022.13</x:v>
      </x:c>
    </x:row>
    <x:row r="75" ht="21" customHeight="1">
      <x:c r="A75" s="6" t="str">
        <x:v>REQ-0067</x:v>
      </x:c>
      <x:c r="B75" s="148" t="n">
        <x:v>46167</x:v>
      </x:c>
      <x:c r="C75" s="6" t="str">
        <x:v>Customer Care</x:v>
      </x:c>
      <x:c r="D75" s="6" t="str">
        <x:v>CC-610</x:v>
      </x:c>
      <x:c r="E75" s="6" t="str">
        <x:v>Office Expense</x:v>
      </x:c>
      <x:c r="F75" s="6" t="str">
        <x:v>Approved</x:v>
      </x:c>
      <x:c r="G75" s="150" t="n">
        <x:v>2612.37</x:v>
      </x:c>
      <x:c r="H75" s="150" t="n">
        <x:v>3946.88</x:v>
      </x:c>
      <x:c r="I75" s="150" t="n">
        <x:v>1334.51</x:v>
      </x:c>
    </x:row>
    <x:row r="76" ht="21" customHeight="1">
      <x:c r="A76" s="6" t="str">
        <x:v>REQ-0068</x:v>
      </x:c>
      <x:c r="B76" s="148" t="n">
        <x:v>46250</x:v>
      </x:c>
      <x:c r="C76" s="6" t="str">
        <x:v>IT</x:v>
      </x:c>
      <x:c r="D76" s="6" t="str">
        <x:v>CC-610</x:v>
      </x:c>
      <x:c r="E76" s="6" t="str">
        <x:v>Maintenance</x:v>
      </x:c>
      <x:c r="F76" s="6" t="str">
        <x:v>Rejected</x:v>
      </x:c>
      <x:c r="G76" s="150" t="n">
        <x:v>3062.29</x:v>
      </x:c>
      <x:c r="H76" s="150" t="n">
        <x:v>5001.91</x:v>
      </x:c>
      <x:c r="I76" s="150" t="n">
        <x:v>1939.62</x:v>
      </x:c>
    </x:row>
    <x:row r="77" ht="21" customHeight="1">
      <x:c r="A77" s="6" t="str">
        <x:v>REQ-0069</x:v>
      </x:c>
      <x:c r="B77" s="148" t="n">
        <x:v>46066</x:v>
      </x:c>
      <x:c r="C77" s="6" t="str">
        <x:v>HR</x:v>
      </x:c>
      <x:c r="D77" s="6" t="str">
        <x:v>CC-310</x:v>
      </x:c>
      <x:c r="E77" s="6" t="str">
        <x:v>Logistics</x:v>
      </x:c>
      <x:c r="F77" s="6" t="str">
        <x:v>Rejected</x:v>
      </x:c>
      <x:c r="G77" s="150" t="n">
        <x:v>5413.43</x:v>
      </x:c>
      <x:c r="H77" s="150" t="n">
        <x:v>1945.22</x:v>
      </x:c>
      <x:c r="I77" s="150" t="n">
        <x:v>-3468.21</x:v>
      </x:c>
    </x:row>
    <x:row r="78" ht="21" customHeight="1">
      <x:c r="A78" s="6" t="str">
        <x:v>REQ-0070</x:v>
      </x:c>
      <x:c r="B78" s="148" t="n">
        <x:v>46044</x:v>
      </x:c>
      <x:c r="C78" s="6" t="str">
        <x:v>Operations</x:v>
      </x:c>
      <x:c r="D78" s="6" t="str">
        <x:v>CC-510</x:v>
      </x:c>
      <x:c r="E78" s="6" t="str">
        <x:v>Marketing Expense</x:v>
      </x:c>
      <x:c r="F78" s="6" t="str">
        <x:v>Approved</x:v>
      </x:c>
      <x:c r="G78" s="150" t="n">
        <x:v>1110.8</x:v>
      </x:c>
      <x:c r="H78" s="150" t="n">
        <x:v>3491.82</x:v>
      </x:c>
      <x:c r="I78" s="150" t="n">
        <x:v>2381.02</x:v>
      </x:c>
    </x:row>
    <x:row r="79" ht="21" customHeight="1">
      <x:c r="A79" s="6" t="str">
        <x:v>REQ-0071</x:v>
      </x:c>
      <x:c r="B79" s="148" t="n">
        <x:v>46235</x:v>
      </x:c>
      <x:c r="C79" s="6" t="str">
        <x:v>Finance</x:v>
      </x:c>
      <x:c r="D79" s="6" t="str">
        <x:v>CC-120</x:v>
      </x:c>
      <x:c r="E79" s="6" t="str">
        <x:v>Maintenance</x:v>
      </x:c>
      <x:c r="F79" s="6" t="str">
        <x:v>Pending Approval</x:v>
      </x:c>
      <x:c r="G79" s="150" t="n">
        <x:v>5018.63</x:v>
      </x:c>
      <x:c r="H79" s="150" t="n">
        <x:v>3901.41</x:v>
      </x:c>
      <x:c r="I79" s="150" t="n">
        <x:v>-1117.22</x:v>
      </x:c>
    </x:row>
    <x:row r="80" ht="21" customHeight="1">
      <x:c r="A80" s="6" t="str">
        <x:v>REQ-0072</x:v>
      </x:c>
      <x:c r="B80" s="148" t="n">
        <x:v>46246</x:v>
      </x:c>
      <x:c r="C80" s="6" t="str">
        <x:v>Retail</x:v>
      </x:c>
      <x:c r="D80" s="6" t="str">
        <x:v>CC-310</x:v>
      </x:c>
      <x:c r="E80" s="6" t="str">
        <x:v>Office Expense</x:v>
      </x:c>
      <x:c r="F80" s="6" t="str">
        <x:v>Pending Approval</x:v>
      </x:c>
      <x:c r="G80" s="150" t="n">
        <x:v>3701.98</x:v>
      </x:c>
      <x:c r="H80" s="150" t="n">
        <x:v>3559.33</x:v>
      </x:c>
      <x:c r="I80" s="150" t="n">
        <x:v>-142.65</x:v>
      </x:c>
    </x:row>
    <x:row r="81" ht="21" customHeight="1">
      <x:c r="A81" s="6" t="str">
        <x:v>REQ-0073</x:v>
      </x:c>
      <x:c r="B81" s="148" t="n">
        <x:v>46051</x:v>
      </x:c>
      <x:c r="C81" s="6" t="str">
        <x:v>Finance</x:v>
      </x:c>
      <x:c r="D81" s="6" t="str">
        <x:v>CC-510</x:v>
      </x:c>
      <x:c r="E81" s="6" t="str">
        <x:v>Vendor Invoice</x:v>
      </x:c>
      <x:c r="F81" s="6" t="str">
        <x:v>Pending Approval</x:v>
      </x:c>
      <x:c r="G81" s="150" t="n">
        <x:v>2950.28</x:v>
      </x:c>
      <x:c r="H81" s="150" t="n">
        <x:v>4658.33</x:v>
      </x:c>
      <x:c r="I81" s="150" t="n">
        <x:v>1708.05</x:v>
      </x:c>
    </x:row>
    <x:row r="82" ht="21" customHeight="1">
      <x:c r="A82" s="6" t="str">
        <x:v>REQ-0074</x:v>
      </x:c>
      <x:c r="B82" s="148" t="n">
        <x:v>46248</x:v>
      </x:c>
      <x:c r="C82" s="6" t="str">
        <x:v>Marketing</x:v>
      </x:c>
      <x:c r="D82" s="6" t="str">
        <x:v>CC-120</x:v>
      </x:c>
      <x:c r="E82" s="6" t="str">
        <x:v>Vendor Invoice</x:v>
      </x:c>
      <x:c r="F82" s="6" t="str">
        <x:v>Approved</x:v>
      </x:c>
      <x:c r="G82" s="150" t="n">
        <x:v>5588.59</x:v>
      </x:c>
      <x:c r="H82" s="150" t="n">
        <x:v>1516.65</x:v>
      </x:c>
      <x:c r="I82" s="150" t="n">
        <x:v>-4071.94</x:v>
      </x:c>
    </x:row>
    <x:row r="83" ht="21" customHeight="1">
      <x:c r="A83" s="6" t="str">
        <x:v>REQ-0075</x:v>
      </x:c>
      <x:c r="B83" s="148" t="n">
        <x:v>46100</x:v>
      </x:c>
      <x:c r="C83" s="6" t="str">
        <x:v>Finance</x:v>
      </x:c>
      <x:c r="D83" s="6" t="str">
        <x:v>CC-120</x:v>
      </x:c>
      <x:c r="E83" s="6" t="str">
        <x:v>Maintenance</x:v>
      </x:c>
      <x:c r="F83" s="6" t="str">
        <x:v>Approved</x:v>
      </x:c>
      <x:c r="G83" s="150" t="n">
        <x:v>713.54</x:v>
      </x:c>
      <x:c r="H83" s="150" t="n">
        <x:v>3129.82</x:v>
      </x:c>
      <x:c r="I83" s="150" t="n">
        <x:v>2416.28</x:v>
      </x:c>
    </x:row>
    <x:row r="84" ht="21" customHeight="1">
      <x:c r="A84" s="6" t="str">
        <x:v>REQ-0076</x:v>
      </x:c>
      <x:c r="B84" s="148" t="n">
        <x:v>46233</x:v>
      </x:c>
      <x:c r="C84" s="6" t="str">
        <x:v>Marketing</x:v>
      </x:c>
      <x:c r="D84" s="6" t="str">
        <x:v>CC-120</x:v>
      </x:c>
      <x:c r="E84" s="6" t="str">
        <x:v>Training</x:v>
      </x:c>
      <x:c r="F84" s="6" t="str">
        <x:v>Approved</x:v>
      </x:c>
      <x:c r="G84" s="150" t="n">
        <x:v>3711.72</x:v>
      </x:c>
      <x:c r="H84" s="150" t="n">
        <x:v>3370.93</x:v>
      </x:c>
      <x:c r="I84" s="150" t="n">
        <x:v>-340.79</x:v>
      </x:c>
    </x:row>
    <x:row r="85" ht="21" customHeight="1">
      <x:c r="A85" s="6" t="str">
        <x:v>REQ-0077</x:v>
      </x:c>
      <x:c r="B85" s="148" t="n">
        <x:v>46248</x:v>
      </x:c>
      <x:c r="C85" s="6" t="str">
        <x:v>IT</x:v>
      </x:c>
      <x:c r="D85" s="6" t="str">
        <x:v>CC-210</x:v>
      </x:c>
      <x:c r="E85" s="6" t="str">
        <x:v>Office Expense</x:v>
      </x:c>
      <x:c r="F85" s="6" t="str">
        <x:v>Pending Approval</x:v>
      </x:c>
      <x:c r="G85" s="150" t="n">
        <x:v>611.09</x:v>
      </x:c>
      <x:c r="H85" s="150" t="n">
        <x:v>6131.27</x:v>
      </x:c>
      <x:c r="I85" s="150" t="n">
        <x:v>5520.18</x:v>
      </x:c>
    </x:row>
    <x:row r="86" ht="21" customHeight="1">
      <x:c r="A86" s="6" t="str">
        <x:v>REQ-0078</x:v>
      </x:c>
      <x:c r="B86" s="148" t="n">
        <x:v>46203</x:v>
      </x:c>
      <x:c r="C86" s="6" t="str">
        <x:v>Retail</x:v>
      </x:c>
      <x:c r="D86" s="6" t="str">
        <x:v>CC-410</x:v>
      </x:c>
      <x:c r="E86" s="6" t="str">
        <x:v>Maintenance</x:v>
      </x:c>
      <x:c r="F86" s="6" t="str">
        <x:v>Approved</x:v>
      </x:c>
      <x:c r="G86" s="150" t="n">
        <x:v>5724.67</x:v>
      </x:c>
      <x:c r="H86" s="150" t="n">
        <x:v>1729.29</x:v>
      </x:c>
      <x:c r="I86" s="150" t="n">
        <x:v>-3995.38</x:v>
      </x:c>
    </x:row>
    <x:row r="87" ht="21" customHeight="1">
      <x:c r="A87" s="6" t="str">
        <x:v>REQ-0079</x:v>
      </x:c>
      <x:c r="B87" s="148" t="n">
        <x:v>46171</x:v>
      </x:c>
      <x:c r="C87" s="6" t="str">
        <x:v>HR</x:v>
      </x:c>
      <x:c r="D87" s="6" t="str">
        <x:v>CC-220</x:v>
      </x:c>
      <x:c r="E87" s="6" t="str">
        <x:v>Travel</x:v>
      </x:c>
      <x:c r="F87" s="6" t="str">
        <x:v>Approved</x:v>
      </x:c>
      <x:c r="G87" s="150" t="n">
        <x:v>4634.67</x:v>
      </x:c>
      <x:c r="H87" s="150" t="n">
        <x:v>3392.61</x:v>
      </x:c>
      <x:c r="I87" s="150" t="n">
        <x:v>-1242.06</x:v>
      </x:c>
    </x:row>
    <x:row r="88" ht="21" customHeight="1">
      <x:c r="A88" s="6" t="str">
        <x:v>REQ-0080</x:v>
      </x:c>
      <x:c r="B88" s="148" t="n">
        <x:v>46252</x:v>
      </x:c>
      <x:c r="C88" s="6" t="str">
        <x:v>Retail</x:v>
      </x:c>
      <x:c r="D88" s="6" t="str">
        <x:v>CC-120</x:v>
      </x:c>
      <x:c r="E88" s="6" t="str">
        <x:v>Maintenance</x:v>
      </x:c>
      <x:c r="F88" s="6" t="str">
        <x:v>Approved</x:v>
      </x:c>
      <x:c r="G88" s="150" t="n">
        <x:v>4099.9</x:v>
      </x:c>
      <x:c r="H88" s="150" t="n">
        <x:v>5929.04</x:v>
      </x:c>
      <x:c r="I88" s="150" t="n">
        <x:v>1829.14</x:v>
      </x:c>
    </x:row>
    <x:row r="89" ht="21" customHeight="1">
      <x:c r="A89" s="6" t="str">
        <x:v>REQ-0081</x:v>
      </x:c>
      <x:c r="B89" s="148" t="n">
        <x:v>46085</x:v>
      </x:c>
      <x:c r="C89" s="6" t="str">
        <x:v>Retail</x:v>
      </x:c>
      <x:c r="D89" s="6" t="str">
        <x:v>CC-410</x:v>
      </x:c>
      <x:c r="E89" s="6" t="str">
        <x:v>Training</x:v>
      </x:c>
      <x:c r="F89" s="6" t="str">
        <x:v>Pending Approval</x:v>
      </x:c>
      <x:c r="G89" s="150" t="n">
        <x:v>4177.57</x:v>
      </x:c>
      <x:c r="H89" s="150" t="n">
        <x:v>2560.15</x:v>
      </x:c>
      <x:c r="I89" s="150" t="n">
        <x:v>-1617.42</x:v>
      </x:c>
    </x:row>
    <x:row r="90" ht="21" customHeight="1">
      <x:c r="A90" s="6" t="str">
        <x:v>REQ-0082</x:v>
      </x:c>
      <x:c r="B90" s="148" t="n">
        <x:v>46208</x:v>
      </x:c>
      <x:c r="C90" s="6" t="str">
        <x:v>Network</x:v>
      </x:c>
      <x:c r="D90" s="6" t="str">
        <x:v>CC-210</x:v>
      </x:c>
      <x:c r="E90" s="6" t="str">
        <x:v>Maintenance</x:v>
      </x:c>
      <x:c r="F90" s="6" t="str">
        <x:v>Rejected</x:v>
      </x:c>
      <x:c r="G90" s="150" t="n">
        <x:v>4250.8</x:v>
      </x:c>
      <x:c r="H90" s="150" t="n">
        <x:v>1807.55</x:v>
      </x:c>
      <x:c r="I90" s="150" t="n">
        <x:v>-2443.25</x:v>
      </x:c>
    </x:row>
    <x:row r="91" ht="21" customHeight="1">
      <x:c r="A91" s="6" t="str">
        <x:v>REQ-0083</x:v>
      </x:c>
      <x:c r="B91" s="148" t="n">
        <x:v>46168</x:v>
      </x:c>
      <x:c r="C91" s="6" t="str">
        <x:v>Operations</x:v>
      </x:c>
      <x:c r="D91" s="6" t="str">
        <x:v>CC-410</x:v>
      </x:c>
      <x:c r="E91" s="6" t="str">
        <x:v>Vendor Invoice</x:v>
      </x:c>
      <x:c r="F91" s="6" t="str">
        <x:v>Pending Approval</x:v>
      </x:c>
      <x:c r="G91" s="150" t="n">
        <x:v>5787.9</x:v>
      </x:c>
      <x:c r="H91" s="150" t="n">
        <x:v>2627.22</x:v>
      </x:c>
      <x:c r="I91" s="150" t="n">
        <x:v>-3160.68</x:v>
      </x:c>
    </x:row>
    <x:row r="92" ht="21" customHeight="1">
      <x:c r="A92" s="6" t="str">
        <x:v>REQ-0084</x:v>
      </x:c>
      <x:c r="B92" s="148" t="n">
        <x:v>46097</x:v>
      </x:c>
      <x:c r="C92" s="6" t="str">
        <x:v>Marketing</x:v>
      </x:c>
      <x:c r="D92" s="6" t="str">
        <x:v>CC-610</x:v>
      </x:c>
      <x:c r="E92" s="6" t="str">
        <x:v>Vendor Invoice</x:v>
      </x:c>
      <x:c r="F92" s="6" t="str">
        <x:v>Pending Approval</x:v>
      </x:c>
      <x:c r="G92" s="150" t="n">
        <x:v>3322.77</x:v>
      </x:c>
      <x:c r="H92" s="150" t="n">
        <x:v>1975.96</x:v>
      </x:c>
      <x:c r="I92" s="150" t="n">
        <x:v>-1346.81</x:v>
      </x:c>
    </x:row>
    <x:row r="93" ht="21" customHeight="1">
      <x:c r="A93" s="6" t="str">
        <x:v>REQ-0085</x:v>
      </x:c>
      <x:c r="B93" s="148" t="n">
        <x:v>46242</x:v>
      </x:c>
      <x:c r="C93" s="6" t="str">
        <x:v>IT</x:v>
      </x:c>
      <x:c r="D93" s="6" t="str">
        <x:v>CC-610</x:v>
      </x:c>
      <x:c r="E93" s="6" t="str">
        <x:v>Marketing Expense</x:v>
      </x:c>
      <x:c r="F93" s="6" t="str">
        <x:v>Approved</x:v>
      </x:c>
      <x:c r="G93" s="150" t="n">
        <x:v>3377.67</x:v>
      </x:c>
      <x:c r="H93" s="150" t="n">
        <x:v>5789.92</x:v>
      </x:c>
      <x:c r="I93" s="150" t="n">
        <x:v>2412.25</x:v>
      </x:c>
    </x:row>
    <x:row r="94" ht="21" customHeight="1">
      <x:c r="A94" s="6" t="str">
        <x:v>REQ-0086</x:v>
      </x:c>
      <x:c r="B94" s="148" t="n">
        <x:v>46211</x:v>
      </x:c>
      <x:c r="C94" s="6" t="str">
        <x:v>Customer Care</x:v>
      </x:c>
      <x:c r="D94" s="6" t="str">
        <x:v>CC-220</x:v>
      </x:c>
      <x:c r="E94" s="6" t="str">
        <x:v>Vendor Invoice</x:v>
      </x:c>
      <x:c r="F94" s="6" t="str">
        <x:v>Approved</x:v>
      </x:c>
      <x:c r="G94" s="150" t="n">
        <x:v>1421.04</x:v>
      </x:c>
      <x:c r="H94" s="150" t="n">
        <x:v>6383.97</x:v>
      </x:c>
      <x:c r="I94" s="150" t="n">
        <x:v>4962.93</x:v>
      </x:c>
    </x:row>
    <x:row r="95" ht="21" customHeight="1">
      <x:c r="A95" s="6" t="str">
        <x:v>REQ-0087</x:v>
      </x:c>
      <x:c r="B95" s="148" t="n">
        <x:v>46075</x:v>
      </x:c>
      <x:c r="C95" s="6" t="str">
        <x:v>Retail</x:v>
      </x:c>
      <x:c r="D95" s="6" t="str">
        <x:v>CC-610</x:v>
      </x:c>
      <x:c r="E95" s="6" t="str">
        <x:v>Marketing Expense</x:v>
      </x:c>
      <x:c r="F95" s="6" t="str">
        <x:v>Pending Approval</x:v>
      </x:c>
      <x:c r="G95" s="150" t="n">
        <x:v>5416.02</x:v>
      </x:c>
      <x:c r="H95" s="150" t="n">
        <x:v>4963.52</x:v>
      </x:c>
      <x:c r="I95" s="150" t="n">
        <x:v>-452.5</x:v>
      </x:c>
    </x:row>
    <x:row r="96" ht="21" customHeight="1">
      <x:c r="A96" s="6" t="str">
        <x:v>REQ-0088</x:v>
      </x:c>
      <x:c r="B96" s="148" t="n">
        <x:v>46140</x:v>
      </x:c>
      <x:c r="C96" s="6" t="str">
        <x:v>Operations</x:v>
      </x:c>
      <x:c r="D96" s="6" t="str">
        <x:v>CC-120</x:v>
      </x:c>
      <x:c r="E96" s="6" t="str">
        <x:v>Marketing Expense</x:v>
      </x:c>
      <x:c r="F96" s="6" t="str">
        <x:v>Approved</x:v>
      </x:c>
      <x:c r="G96" s="150" t="n">
        <x:v>1456.63</x:v>
      </x:c>
      <x:c r="H96" s="150" t="n">
        <x:v>5742.02</x:v>
      </x:c>
      <x:c r="I96" s="150" t="n">
        <x:v>4285.39</x:v>
      </x:c>
    </x:row>
    <x:row r="97" ht="21" customHeight="1">
      <x:c r="A97" s="6" t="str">
        <x:v>REQ-0089</x:v>
      </x:c>
      <x:c r="B97" s="148" t="n">
        <x:v>46121</x:v>
      </x:c>
      <x:c r="C97" s="6" t="str">
        <x:v>IT</x:v>
      </x:c>
      <x:c r="D97" s="6" t="str">
        <x:v>CC-120</x:v>
      </x:c>
      <x:c r="E97" s="6" t="str">
        <x:v>Logistics</x:v>
      </x:c>
      <x:c r="F97" s="6" t="str">
        <x:v>Pending Approval</x:v>
      </x:c>
      <x:c r="G97" s="150" t="n">
        <x:v>1566.29</x:v>
      </x:c>
      <x:c r="H97" s="150" t="n">
        <x:v>3514.36</x:v>
      </x:c>
      <x:c r="I97" s="150" t="n">
        <x:v>1948.07</x:v>
      </x:c>
    </x:row>
    <x:row r="98" ht="21" customHeight="1">
      <x:c r="A98" s="6" t="str">
        <x:v>REQ-0090</x:v>
      </x:c>
      <x:c r="B98" s="148" t="n">
        <x:v>46068</x:v>
      </x:c>
      <x:c r="C98" s="6" t="str">
        <x:v>Operations</x:v>
      </x:c>
      <x:c r="D98" s="6" t="str">
        <x:v>CC-220</x:v>
      </x:c>
      <x:c r="E98" s="6" t="str">
        <x:v>Marketing Expense</x:v>
      </x:c>
      <x:c r="F98" s="6" t="str">
        <x:v>Rejected</x:v>
      </x:c>
      <x:c r="G98" s="150" t="n">
        <x:v>6470.1</x:v>
      </x:c>
      <x:c r="H98" s="150" t="n">
        <x:v>1808.35</x:v>
      </x:c>
      <x:c r="I98" s="150" t="n">
        <x:v>-4661.75</x:v>
      </x:c>
    </x:row>
    <x:row r="99" ht="21" customHeight="1">
      <x:c r="A99" s="6" t="str">
        <x:v>REQ-0091</x:v>
      </x:c>
      <x:c r="B99" s="148" t="n">
        <x:v>46063</x:v>
      </x:c>
      <x:c r="C99" s="6" t="str">
        <x:v>HR</x:v>
      </x:c>
      <x:c r="D99" s="6" t="str">
        <x:v>CC-410</x:v>
      </x:c>
      <x:c r="E99" s="6" t="str">
        <x:v>Logistics</x:v>
      </x:c>
      <x:c r="F99" s="6" t="str">
        <x:v>Pending Approval</x:v>
      </x:c>
      <x:c r="G99" s="150" t="n">
        <x:v>1485.37</x:v>
      </x:c>
      <x:c r="H99" s="150" t="n">
        <x:v>2642.47</x:v>
      </x:c>
      <x:c r="I99" s="150" t="n">
        <x:v>1157.1</x:v>
      </x:c>
    </x:row>
    <x:row r="100" ht="21" customHeight="1">
      <x:c r="A100" s="6" t="str">
        <x:v>REQ-0092</x:v>
      </x:c>
      <x:c r="B100" s="148" t="n">
        <x:v>46153</x:v>
      </x:c>
      <x:c r="C100" s="6" t="str">
        <x:v>Network</x:v>
      </x:c>
      <x:c r="D100" s="6" t="str">
        <x:v>CC-110</x:v>
      </x:c>
      <x:c r="E100" s="6" t="str">
        <x:v>Office Expense</x:v>
      </x:c>
      <x:c r="F100" s="6" t="str">
        <x:v>Pending Approval</x:v>
      </x:c>
      <x:c r="G100" s="150" t="n">
        <x:v>2966.43</x:v>
      </x:c>
      <x:c r="H100" s="150" t="n">
        <x:v>4394.52</x:v>
      </x:c>
      <x:c r="I100" s="150" t="n">
        <x:v>1428.09</x:v>
      </x:c>
    </x:row>
    <x:row r="101" ht="21" customHeight="1">
      <x:c r="A101" s="6" t="str">
        <x:v>REQ-0093</x:v>
      </x:c>
      <x:c r="B101" s="148" t="n">
        <x:v>46222</x:v>
      </x:c>
      <x:c r="C101" s="6" t="str">
        <x:v>Network</x:v>
      </x:c>
      <x:c r="D101" s="6" t="str">
        <x:v>CC-210</x:v>
      </x:c>
      <x:c r="E101" s="6" t="str">
        <x:v>Office Expense</x:v>
      </x:c>
      <x:c r="F101" s="6" t="str">
        <x:v>Approved</x:v>
      </x:c>
      <x:c r="G101" s="150" t="n">
        <x:v>3642.48</x:v>
      </x:c>
      <x:c r="H101" s="150" t="n">
        <x:v>1824.38</x:v>
      </x:c>
      <x:c r="I101" s="150" t="n">
        <x:v>-1818.1</x:v>
      </x:c>
    </x:row>
    <x:row r="102" ht="21" customHeight="1">
      <x:c r="A102" s="6" t="str">
        <x:v>REQ-0094</x:v>
      </x:c>
      <x:c r="B102" s="148" t="n">
        <x:v>46259</x:v>
      </x:c>
      <x:c r="C102" s="6" t="str">
        <x:v>IT</x:v>
      </x:c>
      <x:c r="D102" s="6" t="str">
        <x:v>CC-120</x:v>
      </x:c>
      <x:c r="E102" s="6" t="str">
        <x:v>Software</x:v>
      </x:c>
      <x:c r="F102" s="6" t="str">
        <x:v>Rejected</x:v>
      </x:c>
      <x:c r="G102" s="150" t="n">
        <x:v>4073.23</x:v>
      </x:c>
      <x:c r="H102" s="150" t="n">
        <x:v>3800.37</x:v>
      </x:c>
      <x:c r="I102" s="150" t="n">
        <x:v>-272.86</x:v>
      </x:c>
    </x:row>
    <x:row r="103" ht="21" customHeight="1">
      <x:c r="A103" s="6" t="str">
        <x:v>REQ-0095</x:v>
      </x:c>
      <x:c r="B103" s="148" t="n">
        <x:v>46052</x:v>
      </x:c>
      <x:c r="C103" s="6" t="str">
        <x:v>Customer Care</x:v>
      </x:c>
      <x:c r="D103" s="6" t="str">
        <x:v>CC-120</x:v>
      </x:c>
      <x:c r="E103" s="6" t="str">
        <x:v>Training</x:v>
      </x:c>
      <x:c r="F103" s="6" t="str">
        <x:v>Rejected</x:v>
      </x:c>
      <x:c r="G103" s="150" t="n">
        <x:v>5802.45</x:v>
      </x:c>
      <x:c r="H103" s="150" t="n">
        <x:v>2213.01</x:v>
      </x:c>
      <x:c r="I103" s="150" t="n">
        <x:v>-3589.44</x:v>
      </x:c>
    </x:row>
    <x:row r="104" ht="21" customHeight="1">
      <x:c r="A104" s="6" t="str">
        <x:v>REQ-0096</x:v>
      </x:c>
      <x:c r="B104" s="148" t="n">
        <x:v>46064</x:v>
      </x:c>
      <x:c r="C104" s="6" t="str">
        <x:v>Marketing</x:v>
      </x:c>
      <x:c r="D104" s="6" t="str">
        <x:v>CC-210</x:v>
      </x:c>
      <x:c r="E104" s="6" t="str">
        <x:v>Vendor Invoice</x:v>
      </x:c>
      <x:c r="F104" s="6" t="str">
        <x:v>Pending Approval</x:v>
      </x:c>
      <x:c r="G104" s="150" t="n">
        <x:v>2401.36</x:v>
      </x:c>
      <x:c r="H104" s="150" t="n">
        <x:v>6514.9</x:v>
      </x:c>
      <x:c r="I104" s="150" t="n">
        <x:v>4113.54</x:v>
      </x:c>
    </x:row>
    <x:row r="105" ht="21" customHeight="1">
      <x:c r="A105" s="6" t="str">
        <x:v>REQ-0097</x:v>
      </x:c>
      <x:c r="B105" s="148" t="n">
        <x:v>46207</x:v>
      </x:c>
      <x:c r="C105" s="6" t="str">
        <x:v>Operations</x:v>
      </x:c>
      <x:c r="D105" s="6" t="str">
        <x:v>CC-220</x:v>
      </x:c>
      <x:c r="E105" s="6" t="str">
        <x:v>Training</x:v>
      </x:c>
      <x:c r="F105" s="6" t="str">
        <x:v>Pending Approval</x:v>
      </x:c>
      <x:c r="G105" s="150" t="n">
        <x:v>5005.07</x:v>
      </x:c>
      <x:c r="H105" s="150" t="n">
        <x:v>2850.35</x:v>
      </x:c>
      <x:c r="I105" s="150" t="n">
        <x:v>-2154.72</x:v>
      </x:c>
    </x:row>
    <x:row r="106" ht="21" customHeight="1">
      <x:c r="A106" s="6" t="str">
        <x:v>REQ-0098</x:v>
      </x:c>
      <x:c r="B106" s="148" t="n">
        <x:v>46150</x:v>
      </x:c>
      <x:c r="C106" s="6" t="str">
        <x:v>Customer Care</x:v>
      </x:c>
      <x:c r="D106" s="6" t="str">
        <x:v>CC-410</x:v>
      </x:c>
      <x:c r="E106" s="6" t="str">
        <x:v>Software</x:v>
      </x:c>
      <x:c r="F106" s="6" t="str">
        <x:v>Approved</x:v>
      </x:c>
      <x:c r="G106" s="150" t="n">
        <x:v>2954.09</x:v>
      </x:c>
      <x:c r="H106" s="150" t="n">
        <x:v>2210.01</x:v>
      </x:c>
      <x:c r="I106" s="150" t="n">
        <x:v>-744.08</x:v>
      </x:c>
    </x:row>
    <x:row r="107" ht="21" customHeight="1">
      <x:c r="A107" s="6" t="str">
        <x:v>REQ-0099</x:v>
      </x:c>
      <x:c r="B107" s="148" t="n">
        <x:v>46190</x:v>
      </x:c>
      <x:c r="C107" s="6" t="str">
        <x:v>Operations</x:v>
      </x:c>
      <x:c r="D107" s="6" t="str">
        <x:v>CC-220</x:v>
      </x:c>
      <x:c r="E107" s="6" t="str">
        <x:v>Office Expense</x:v>
      </x:c>
      <x:c r="F107" s="6" t="str">
        <x:v>Approved</x:v>
      </x:c>
      <x:c r="G107" s="150" t="n">
        <x:v>1703.85</x:v>
      </x:c>
      <x:c r="H107" s="150" t="n">
        <x:v>4270.93</x:v>
      </x:c>
      <x:c r="I107" s="150" t="n">
        <x:v>2567.08</x:v>
      </x:c>
    </x:row>
    <x:row r="108" ht="21" customHeight="1">
      <x:c r="A108" s="6" t="str">
        <x:v>REQ-0100</x:v>
      </x:c>
      <x:c r="B108" s="148" t="n">
        <x:v>46087</x:v>
      </x:c>
      <x:c r="C108" s="6" t="str">
        <x:v>Customer Care</x:v>
      </x:c>
      <x:c r="D108" s="6" t="str">
        <x:v>CC-210</x:v>
      </x:c>
      <x:c r="E108" s="6" t="str">
        <x:v>Maintenance</x:v>
      </x:c>
      <x:c r="F108" s="6" t="str">
        <x:v>Rejected</x:v>
      </x:c>
      <x:c r="G108" s="150" t="n">
        <x:v>4378.07</x:v>
      </x:c>
      <x:c r="H108" s="150" t="n">
        <x:v>3700.13</x:v>
      </x:c>
      <x:c r="I108" s="150" t="n">
        <x:v>-677.94</x:v>
      </x:c>
    </x:row>
    <x:row r="109" ht="21" customHeight="1">
      <x:c r="A109" s="6" t="str">
        <x:v>REQ-0101</x:v>
      </x:c>
      <x:c r="B109" s="148" t="n">
        <x:v>46069</x:v>
      </x:c>
      <x:c r="C109" s="6" t="str">
        <x:v>Operations</x:v>
      </x:c>
      <x:c r="D109" s="6" t="str">
        <x:v>CC-210</x:v>
      </x:c>
      <x:c r="E109" s="6" t="str">
        <x:v>Vendor Invoice</x:v>
      </x:c>
      <x:c r="F109" s="6" t="str">
        <x:v>Approved</x:v>
      </x:c>
      <x:c r="G109" s="150" t="n">
        <x:v>533.23</x:v>
      </x:c>
      <x:c r="H109" s="150" t="n">
        <x:v>5085.57</x:v>
      </x:c>
      <x:c r="I109" s="150" t="n">
        <x:v>4552.34</x:v>
      </x:c>
    </x:row>
    <x:row r="110" ht="21" customHeight="1">
      <x:c r="A110" s="6" t="str">
        <x:v>REQ-0102</x:v>
      </x:c>
      <x:c r="B110" s="148" t="n">
        <x:v>46240</x:v>
      </x:c>
      <x:c r="C110" s="6" t="str">
        <x:v>IT</x:v>
      </x:c>
      <x:c r="D110" s="6" t="str">
        <x:v>CC-220</x:v>
      </x:c>
      <x:c r="E110" s="6" t="str">
        <x:v>Marketing Expense</x:v>
      </x:c>
      <x:c r="F110" s="6" t="str">
        <x:v>Rejected</x:v>
      </x:c>
      <x:c r="G110" s="150" t="n">
        <x:v>4203.84</x:v>
      </x:c>
      <x:c r="H110" s="150" t="n">
        <x:v>4611.49</x:v>
      </x:c>
      <x:c r="I110" s="150" t="n">
        <x:v>407.65</x:v>
      </x:c>
    </x:row>
    <x:row r="111" ht="21" customHeight="1">
      <x:c r="A111" s="6" t="str">
        <x:v>REQ-0103</x:v>
      </x:c>
      <x:c r="B111" s="148" t="n">
        <x:v>46197</x:v>
      </x:c>
      <x:c r="C111" s="6" t="str">
        <x:v>Network</x:v>
      </x:c>
      <x:c r="D111" s="6" t="str">
        <x:v>CC-310</x:v>
      </x:c>
      <x:c r="E111" s="6" t="str">
        <x:v>Vendor Invoice</x:v>
      </x:c>
      <x:c r="F111" s="6" t="str">
        <x:v>Rejected</x:v>
      </x:c>
      <x:c r="G111" s="150" t="n">
        <x:v>4181.22</x:v>
      </x:c>
      <x:c r="H111" s="150" t="n">
        <x:v>5071.11</x:v>
      </x:c>
      <x:c r="I111" s="150" t="n">
        <x:v>889.89</x:v>
      </x:c>
    </x:row>
    <x:row r="112" ht="21" customHeight="1">
      <x:c r="A112" s="6" t="str">
        <x:v>REQ-0104</x:v>
      </x:c>
      <x:c r="B112" s="148" t="n">
        <x:v>46179</x:v>
      </x:c>
      <x:c r="C112" s="6" t="str">
        <x:v>Network</x:v>
      </x:c>
      <x:c r="D112" s="6" t="str">
        <x:v>CC-120</x:v>
      </x:c>
      <x:c r="E112" s="6" t="str">
        <x:v>Training</x:v>
      </x:c>
      <x:c r="F112" s="6" t="str">
        <x:v>Approved</x:v>
      </x:c>
      <x:c r="G112" s="150" t="n">
        <x:v>1317.83</x:v>
      </x:c>
      <x:c r="H112" s="150" t="n">
        <x:v>2283.75</x:v>
      </x:c>
      <x:c r="I112" s="150" t="n">
        <x:v>965.92</x:v>
      </x:c>
    </x:row>
    <x:row r="113" ht="21" customHeight="1">
      <x:c r="A113" s="6" t="str">
        <x:v>REQ-0105</x:v>
      </x:c>
      <x:c r="B113" s="148" t="n">
        <x:v>46106</x:v>
      </x:c>
      <x:c r="C113" s="6" t="str">
        <x:v>Customer Care</x:v>
      </x:c>
      <x:c r="D113" s="6" t="str">
        <x:v>CC-510</x:v>
      </x:c>
      <x:c r="E113" s="6" t="str">
        <x:v>Training</x:v>
      </x:c>
      <x:c r="F113" s="6" t="str">
        <x:v>Approved</x:v>
      </x:c>
      <x:c r="G113" s="150" t="n">
        <x:v>6033.15</x:v>
      </x:c>
      <x:c r="H113" s="150" t="n">
        <x:v>4229.92</x:v>
      </x:c>
      <x:c r="I113" s="150" t="n">
        <x:v>-1803.23</x:v>
      </x:c>
    </x:row>
    <x:row r="114" ht="21" customHeight="1">
      <x:c r="A114" s="6" t="str">
        <x:v>REQ-0106</x:v>
      </x:c>
      <x:c r="B114" s="148" t="n">
        <x:v>46107</x:v>
      </x:c>
      <x:c r="C114" s="6" t="str">
        <x:v>Network</x:v>
      </x:c>
      <x:c r="D114" s="6" t="str">
        <x:v>CC-220</x:v>
      </x:c>
      <x:c r="E114" s="6" t="str">
        <x:v>Office Expense</x:v>
      </x:c>
      <x:c r="F114" s="6" t="str">
        <x:v>Approved</x:v>
      </x:c>
      <x:c r="G114" s="150" t="n">
        <x:v>4645.47</x:v>
      </x:c>
      <x:c r="H114" s="150" t="n">
        <x:v>6317.02</x:v>
      </x:c>
      <x:c r="I114" s="150" t="n">
        <x:v>1671.55</x:v>
      </x:c>
    </x:row>
    <x:row r="115" ht="21" customHeight="1">
      <x:c r="A115" s="6" t="str">
        <x:v>REQ-0107</x:v>
      </x:c>
      <x:c r="B115" s="148" t="n">
        <x:v>46062</x:v>
      </x:c>
      <x:c r="C115" s="6" t="str">
        <x:v>Finance</x:v>
      </x:c>
      <x:c r="D115" s="6" t="str">
        <x:v>CC-410</x:v>
      </x:c>
      <x:c r="E115" s="6" t="str">
        <x:v>Training</x:v>
      </x:c>
      <x:c r="F115" s="6" t="str">
        <x:v>Approved</x:v>
      </x:c>
      <x:c r="G115" s="150" t="n">
        <x:v>4186</x:v>
      </x:c>
      <x:c r="H115" s="150" t="n">
        <x:v>4836.92</x:v>
      </x:c>
      <x:c r="I115" s="150" t="n">
        <x:v>650.92</x:v>
      </x:c>
    </x:row>
    <x:row r="116" ht="21" customHeight="1">
      <x:c r="A116" s="6" t="str">
        <x:v>REQ-0108</x:v>
      </x:c>
      <x:c r="B116" s="148" t="n">
        <x:v>46145</x:v>
      </x:c>
      <x:c r="C116" s="6" t="str">
        <x:v>Finance</x:v>
      </x:c>
      <x:c r="D116" s="6" t="str">
        <x:v>CC-120</x:v>
      </x:c>
      <x:c r="E116" s="6" t="str">
        <x:v>Logistics</x:v>
      </x:c>
      <x:c r="F116" s="6" t="str">
        <x:v>Rejected</x:v>
      </x:c>
      <x:c r="G116" s="150" t="n">
        <x:v>1795.65</x:v>
      </x:c>
      <x:c r="H116" s="150" t="n">
        <x:v>4638.7</x:v>
      </x:c>
      <x:c r="I116" s="150" t="n">
        <x:v>2843.05</x:v>
      </x:c>
    </x:row>
    <x:row r="117" ht="21" customHeight="1">
      <x:c r="A117" s="6" t="str">
        <x:v>REQ-0109</x:v>
      </x:c>
      <x:c r="B117" s="148" t="n">
        <x:v>46114</x:v>
      </x:c>
      <x:c r="C117" s="6" t="str">
        <x:v>Finance</x:v>
      </x:c>
      <x:c r="D117" s="6" t="str">
        <x:v>CC-220</x:v>
      </x:c>
      <x:c r="E117" s="6" t="str">
        <x:v>Travel</x:v>
      </x:c>
      <x:c r="F117" s="6" t="str">
        <x:v>Approved</x:v>
      </x:c>
      <x:c r="G117" s="150" t="n">
        <x:v>1005.72</x:v>
      </x:c>
      <x:c r="H117" s="150" t="n">
        <x:v>6407.57</x:v>
      </x:c>
      <x:c r="I117" s="150" t="n">
        <x:v>5401.85</x:v>
      </x:c>
    </x:row>
    <x:row r="118" ht="21" customHeight="1">
      <x:c r="A118" s="6" t="str">
        <x:v>REQ-0110</x:v>
      </x:c>
      <x:c r="B118" s="148" t="n">
        <x:v>46031</x:v>
      </x:c>
      <x:c r="C118" s="6" t="str">
        <x:v>Retail</x:v>
      </x:c>
      <x:c r="D118" s="6" t="str">
        <x:v>CC-220</x:v>
      </x:c>
      <x:c r="E118" s="6" t="str">
        <x:v>Maintenance</x:v>
      </x:c>
      <x:c r="F118" s="6" t="str">
        <x:v>Approved</x:v>
      </x:c>
      <x:c r="G118" s="150" t="n">
        <x:v>4065.29</x:v>
      </x:c>
      <x:c r="H118" s="150" t="n">
        <x:v>3016.39</x:v>
      </x:c>
      <x:c r="I118" s="150" t="n">
        <x:v>-1048.9</x:v>
      </x:c>
    </x:row>
    <x:row r="119" ht="21" customHeight="1">
      <x:c r="A119" s="6" t="str">
        <x:v>REQ-0111</x:v>
      </x:c>
      <x:c r="B119" s="148" t="n">
        <x:v>46189</x:v>
      </x:c>
      <x:c r="C119" s="6" t="str">
        <x:v>IT</x:v>
      </x:c>
      <x:c r="D119" s="6" t="str">
        <x:v>CC-120</x:v>
      </x:c>
      <x:c r="E119" s="6" t="str">
        <x:v>Training</x:v>
      </x:c>
      <x:c r="F119" s="6" t="str">
        <x:v>Pending Approval</x:v>
      </x:c>
      <x:c r="G119" s="150" t="n">
        <x:v>4261.98</x:v>
      </x:c>
      <x:c r="H119" s="150" t="n">
        <x:v>1596.08</x:v>
      </x:c>
      <x:c r="I119" s="150" t="n">
        <x:v>-2665.9</x:v>
      </x:c>
    </x:row>
    <x:row r="120" ht="21" customHeight="1">
      <x:c r="A120" s="6" t="str">
        <x:v>REQ-0112</x:v>
      </x:c>
      <x:c r="B120" s="148" t="n">
        <x:v>46163</x:v>
      </x:c>
      <x:c r="C120" s="6" t="str">
        <x:v>Marketing</x:v>
      </x:c>
      <x:c r="D120" s="6" t="str">
        <x:v>CC-120</x:v>
      </x:c>
      <x:c r="E120" s="6" t="str">
        <x:v>Maintenance</x:v>
      </x:c>
      <x:c r="F120" s="6" t="str">
        <x:v>Rejected</x:v>
      </x:c>
      <x:c r="G120" s="150" t="n">
        <x:v>4988.87</x:v>
      </x:c>
      <x:c r="H120" s="150" t="n">
        <x:v>2816.21</x:v>
      </x:c>
      <x:c r="I120" s="150" t="n">
        <x:v>-2172.66</x:v>
      </x:c>
    </x:row>
    <x:row r="121" ht="21" customHeight="1">
      <x:c r="A121" s="6" t="str">
        <x:v>REQ-0113</x:v>
      </x:c>
      <x:c r="B121" s="148" t="n">
        <x:v>46263</x:v>
      </x:c>
      <x:c r="C121" s="6" t="str">
        <x:v>Customer Care</x:v>
      </x:c>
      <x:c r="D121" s="6" t="str">
        <x:v>CC-220</x:v>
      </x:c>
      <x:c r="E121" s="6" t="str">
        <x:v>Logistics</x:v>
      </x:c>
      <x:c r="F121" s="6" t="str">
        <x:v>Pending Approval</x:v>
      </x:c>
      <x:c r="G121" s="150" t="n">
        <x:v>1602.41</x:v>
      </x:c>
      <x:c r="H121" s="150" t="n">
        <x:v>6366.71</x:v>
      </x:c>
      <x:c r="I121" s="150" t="n">
        <x:v>4764.3</x:v>
      </x:c>
    </x:row>
    <x:row r="122" ht="21" customHeight="1">
      <x:c r="A122" s="6" t="str">
        <x:v>REQ-0114</x:v>
      </x:c>
      <x:c r="B122" s="148" t="n">
        <x:v>46140</x:v>
      </x:c>
      <x:c r="C122" s="6" t="str">
        <x:v>HR</x:v>
      </x:c>
      <x:c r="D122" s="6" t="str">
        <x:v>CC-410</x:v>
      </x:c>
      <x:c r="E122" s="6" t="str">
        <x:v>Vendor Invoice</x:v>
      </x:c>
      <x:c r="F122" s="6" t="str">
        <x:v>Approved</x:v>
      </x:c>
      <x:c r="G122" s="150" t="n">
        <x:v>6015.02</x:v>
      </x:c>
      <x:c r="H122" s="150" t="n">
        <x:v>5225.05</x:v>
      </x:c>
      <x:c r="I122" s="150" t="n">
        <x:v>-789.97</x:v>
      </x:c>
    </x:row>
    <x:row r="123" ht="21" customHeight="1">
      <x:c r="A123" s="6" t="str">
        <x:v>REQ-0115</x:v>
      </x:c>
      <x:c r="B123" s="148" t="n">
        <x:v>46048</x:v>
      </x:c>
      <x:c r="C123" s="6" t="str">
        <x:v>Marketing</x:v>
      </x:c>
      <x:c r="D123" s="6" t="str">
        <x:v>CC-120</x:v>
      </x:c>
      <x:c r="E123" s="6" t="str">
        <x:v>Software</x:v>
      </x:c>
      <x:c r="F123" s="6" t="str">
        <x:v>Pending Approval</x:v>
      </x:c>
      <x:c r="G123" s="150" t="n">
        <x:v>1585.51</x:v>
      </x:c>
      <x:c r="H123" s="150" t="n">
        <x:v>3275.31</x:v>
      </x:c>
      <x:c r="I123" s="150" t="n">
        <x:v>1689.8</x:v>
      </x:c>
    </x:row>
    <x:row r="124" ht="21" customHeight="1">
      <x:c r="A124" s="6" t="str">
        <x:v>REQ-0116</x:v>
      </x:c>
      <x:c r="B124" s="148" t="n">
        <x:v>46084</x:v>
      </x:c>
      <x:c r="C124" s="6" t="str">
        <x:v>Operations</x:v>
      </x:c>
      <x:c r="D124" s="6" t="str">
        <x:v>CC-410</x:v>
      </x:c>
      <x:c r="E124" s="6" t="str">
        <x:v>Vendor Invoice</x:v>
      </x:c>
      <x:c r="F124" s="6" t="str">
        <x:v>Rejected</x:v>
      </x:c>
      <x:c r="G124" s="150" t="n">
        <x:v>880.03</x:v>
      </x:c>
      <x:c r="H124" s="150" t="n">
        <x:v>5407.78</x:v>
      </x:c>
      <x:c r="I124" s="150" t="n">
        <x:v>4527.75</x:v>
      </x:c>
    </x:row>
    <x:row r="125" ht="21" customHeight="1">
      <x:c r="A125" s="6" t="str">
        <x:v>REQ-0117</x:v>
      </x:c>
      <x:c r="B125" s="148" t="n">
        <x:v>46144</x:v>
      </x:c>
      <x:c r="C125" s="6" t="str">
        <x:v>HR</x:v>
      </x:c>
      <x:c r="D125" s="6" t="str">
        <x:v>CC-220</x:v>
      </x:c>
      <x:c r="E125" s="6" t="str">
        <x:v>Travel</x:v>
      </x:c>
      <x:c r="F125" s="6" t="str">
        <x:v>Pending Approval</x:v>
      </x:c>
      <x:c r="G125" s="150" t="n">
        <x:v>1418.1</x:v>
      </x:c>
      <x:c r="H125" s="150" t="n">
        <x:v>5752.99</x:v>
      </x:c>
      <x:c r="I125" s="150" t="n">
        <x:v>4334.89</x:v>
      </x:c>
    </x:row>
    <x:row r="126" ht="21" customHeight="1">
      <x:c r="A126" s="6" t="str">
        <x:v>REQ-0118</x:v>
      </x:c>
      <x:c r="B126" s="148" t="n">
        <x:v>46220</x:v>
      </x:c>
      <x:c r="C126" s="6" t="str">
        <x:v>Retail</x:v>
      </x:c>
      <x:c r="D126" s="6" t="str">
        <x:v>CC-510</x:v>
      </x:c>
      <x:c r="E126" s="6" t="str">
        <x:v>Marketing Expense</x:v>
      </x:c>
      <x:c r="F126" s="6" t="str">
        <x:v>Approved</x:v>
      </x:c>
      <x:c r="G126" s="150" t="n">
        <x:v>2850.12</x:v>
      </x:c>
      <x:c r="H126" s="150" t="n">
        <x:v>2750.2</x:v>
      </x:c>
      <x:c r="I126" s="150" t="n">
        <x:v>-99.92</x:v>
      </x:c>
    </x:row>
    <x:row r="127" ht="21" customHeight="1">
      <x:c r="A127" s="6" t="str">
        <x:v>REQ-0119</x:v>
      </x:c>
      <x:c r="B127" s="148" t="n">
        <x:v>46200</x:v>
      </x:c>
      <x:c r="C127" s="6" t="str">
        <x:v>Retail</x:v>
      </x:c>
      <x:c r="D127" s="6" t="str">
        <x:v>CC-210</x:v>
      </x:c>
      <x:c r="E127" s="6" t="str">
        <x:v>Logistics</x:v>
      </x:c>
      <x:c r="F127" s="6" t="str">
        <x:v>Approved</x:v>
      </x:c>
      <x:c r="G127" s="150" t="n">
        <x:v>2085.3</x:v>
      </x:c>
      <x:c r="H127" s="150" t="n">
        <x:v>2920.93</x:v>
      </x:c>
      <x:c r="I127" s="150" t="n">
        <x:v>835.63</x:v>
      </x:c>
    </x:row>
    <x:row r="128" ht="21" customHeight="1">
      <x:c r="A128" s="6" t="str">
        <x:v>REQ-0120</x:v>
      </x:c>
      <x:c r="B128" s="148" t="n">
        <x:v>46038</x:v>
      </x:c>
      <x:c r="C128" s="6" t="str">
        <x:v>Operations</x:v>
      </x:c>
      <x:c r="D128" s="6" t="str">
        <x:v>CC-610</x:v>
      </x:c>
      <x:c r="E128" s="6" t="str">
        <x:v>Vendor Invoice</x:v>
      </x:c>
      <x:c r="F128" s="6" t="str">
        <x:v>Rejected</x:v>
      </x:c>
      <x:c r="G128" s="150" t="n">
        <x:v>4934.93</x:v>
      </x:c>
      <x:c r="H128" s="150" t="n">
        <x:v>5129.84</x:v>
      </x:c>
      <x:c r="I128" s="150" t="n">
        <x:v>194.91</x:v>
      </x:c>
    </x:row>
    <x:row r="129" ht="21" customHeight="1">
      <x:c r="A129" s="6"/>
      <x:c r="B129" s="6"/>
      <x:c r="C129" s="6"/>
      <x:c r="D129" s="6"/>
      <x:c r="E129" s="6"/>
      <x:c r="F129" s="6"/>
      <x:c r="G129" s="6"/>
      <x:c r="H129" s="6"/>
      <x:c r="I129" s="6"/>
    </x:row>
    <x:row r="130" ht="21" customHeight="1">
      <x:c r="A130" s="6"/>
      <x:c r="B130" s="6"/>
      <x:c r="C130" s="6"/>
      <x:c r="D130" s="6"/>
      <x:c r="E130" s="6"/>
      <x:c r="F130" s="6"/>
      <x:c r="G130" s="6"/>
      <x:c r="H130" s="6"/>
      <x:c r="I130" s="6"/>
    </x:row>
    <x:row r="131" ht="21" customHeight="1">
      <x:c r="A131" s="6"/>
      <x:c r="B131" s="6"/>
      <x:c r="C131" s="6"/>
      <x:c r="D131" s="6"/>
      <x:c r="E131" s="6"/>
      <x:c r="F131" s="6"/>
      <x:c r="G131" s="6"/>
      <x:c r="H131" s="6"/>
      <x:c r="I131" s="6"/>
    </x:row>
    <x:row r="132" ht="21" customHeight="1">
      <x:c r="A132" s="6"/>
      <x:c r="B132" s="6"/>
      <x:c r="C132" s="6"/>
      <x:c r="D132" s="6"/>
      <x:c r="E132" s="6"/>
      <x:c r="F132" s="6"/>
      <x:c r="G132" s="6"/>
      <x:c r="H132" s="6"/>
      <x:c r="I132" s="6"/>
    </x:row>
  </x:sheetData>
  <x:mergeCells>
    <x:mergeCell ref="A1:I2"/>
    <x:mergeCell ref="A3:I3"/>
    <x:mergeCell ref="A5:I6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44" hidden="0" customWidth="1"/>
    <x:col min="3" max="3" width="4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1" customHeight="1">
      <x:c r="A1" s="144" t="str">
        <x:v>TRAINER ONLY • FINANCE QUICK REMINDERS</x:v>
      </x:c>
      <x:c r="B1" s="144"/>
      <x:c r="C1" s="144"/>
      <x:c r="D1" s="144"/>
      <x:c r="E1" s="144"/>
      <x:c r="F1" s="144"/>
      <x:c r="G1" s="144"/>
      <x:c r="H1" s="144"/>
    </x:row>
    <x:row r="2" ht="21" customHeight="1">
      <x:c r="A2" s="144"/>
      <x:c r="B2" s="144"/>
      <x:c r="C2" s="144"/>
      <x:c r="D2" s="144"/>
      <x:c r="E2" s="144"/>
      <x:c r="F2" s="144"/>
      <x:c r="G2" s="144"/>
      <x:c r="H2" s="144"/>
    </x:row>
    <x:row r="3" ht="21" customHeight="1">
      <x:c r="A3" s="19" t="str">
        <x:v>إذا نسيت خطوة، ارجع هون</x:v>
      </x:c>
      <x:c r="B3" s="19"/>
      <x:c r="C3" s="19"/>
      <x:c r="D3" s="19"/>
      <x:c r="E3" s="19"/>
      <x:c r="F3" s="19"/>
      <x:c r="G3" s="19"/>
      <x:c r="H3" s="19"/>
    </x:row>
    <x:row r="4" ht="21" customHeight="1">
      <x:c r="A4" s="6"/>
      <x:c r="B4" s="6"/>
      <x:c r="C4" s="6"/>
      <x:c r="D4" s="6"/>
      <x:c r="E4" s="6"/>
      <x:c r="F4" s="6"/>
      <x:c r="G4" s="6"/>
      <x:c r="H4" s="6"/>
    </x:row>
    <x:row r="5" ht="21" customHeight="1">
      <x:c r="A5" s="6"/>
      <x:c r="B5" s="6"/>
      <x:c r="C5" s="6"/>
      <x:c r="D5" s="6"/>
      <x:c r="E5" s="6"/>
      <x:c r="F5" s="6"/>
      <x:c r="G5" s="6"/>
      <x:c r="H5" s="6"/>
    </x:row>
    <x:row r="6" ht="21" customHeight="1">
      <x:c r="A6" s="66" t="str">
        <x:v>TOPIC</x:v>
      </x:c>
      <x:c r="B6" s="66" t="str">
        <x:v>REMEMBER</x:v>
      </x:c>
      <x:c r="C6" s="66" t="str">
        <x:v>COMMON MISTAKE</x:v>
      </x:c>
      <x:c r="D6" s="6"/>
      <x:c r="E6" s="6"/>
      <x:c r="F6" s="6"/>
      <x:c r="G6" s="6"/>
      <x:c r="H6" s="6"/>
    </x:row>
    <x:row r="7" ht="46" customHeight="1">
      <x:c r="A7" s="80" t="str">
        <x:v>Save format</x:v>
      </x:c>
      <x:c r="B7" s="71" t="str">
        <x:v>Save working copy as .xlsm before recording</x:v>
      </x:c>
      <x:c r="C7" s="71" t="str">
        <x:v>Recording then saving as .xlsx</x:v>
      </x:c>
      <x:c r="D7" s="6"/>
      <x:c r="E7" s="6"/>
      <x:c r="F7" s="6"/>
      <x:c r="G7" s="6"/>
      <x:c r="H7" s="6"/>
    </x:row>
    <x:row r="8" ht="46" customHeight="1">
      <x:c r="A8" s="80" t="str">
        <x:v>Macro name</x:v>
      </x:c>
      <x:c r="B8" s="71" t="str">
        <x:v>No spaces; use clear action name</x:v>
      </x:c>
      <x:c r="C8" s="71" t="str">
        <x:v>Macro1 / unclear names</x:v>
      </x:c>
      <x:c r="D8" s="6"/>
      <x:c r="E8" s="6"/>
      <x:c r="F8" s="6"/>
      <x:c r="G8" s="6"/>
      <x:c r="H8" s="6"/>
    </x:row>
    <x:row r="9" ht="46" customHeight="1">
      <x:c r="A9" s="80" t="str">
        <x:v>Button</x:v>
      </x:c>
      <x:c r="B9" s="71" t="str">
        <x:v>Shape → Assign Macro</x:v>
      </x:c>
      <x:c r="C9" s="71" t="str">
        <x:v>Leaving user to open Developer tab</x:v>
      </x:c>
      <x:c r="D9" s="6"/>
      <x:c r="E9" s="6"/>
      <x:c r="F9" s="6"/>
      <x:c r="G9" s="6"/>
      <x:c r="H9" s="6"/>
    </x:row>
    <x:row r="10" ht="46" customHeight="1">
      <x:c r="A10" s="80" t="str">
        <x:v>Protection</x:v>
      </x:c>
      <x:c r="B10" s="71" t="str">
        <x:v>Unlock input cells BEFORE Protect Sheet</x:v>
      </x:c>
      <x:c r="C10" s="71" t="str">
        <x:v>Protect everything and block budget inputs</x:v>
      </x:c>
      <x:c r="D10" s="6"/>
      <x:c r="E10" s="6"/>
      <x:c r="F10" s="6"/>
      <x:c r="G10" s="6"/>
      <x:c r="H10" s="6"/>
    </x:row>
    <x:row r="11" ht="46" customHeight="1">
      <x:c r="A11" s="80" t="str">
        <x:v>Security</x:v>
      </x:c>
      <x:c r="B11" s="71" t="str">
        <x:v>Sheet protection prevents accidents</x:v>
      </x:c>
      <x:c r="C11" s="71" t="str">
        <x:v>Treating it as strong security</x:v>
      </x:c>
      <x:c r="D11" s="6"/>
      <x:c r="E11" s="6"/>
      <x:c r="F11" s="6"/>
      <x:c r="G11" s="6"/>
      <x:c r="H11" s="6"/>
    </x:row>
    <x:row r="12" ht="21" customHeight="1">
      <x:c r="A12" s="6"/>
      <x:c r="B12" s="6"/>
      <x:c r="C12" s="6"/>
      <x:c r="D12" s="6"/>
      <x:c r="E12" s="6"/>
      <x:c r="F12" s="6"/>
      <x:c r="G12" s="6"/>
      <x:c r="H12" s="6"/>
    </x:row>
    <x:row r="13" ht="21" customHeight="1">
      <x:c r="A13" s="6"/>
      <x:c r="B13" s="6"/>
      <x:c r="C13" s="6"/>
      <x:c r="D13" s="6"/>
      <x:c r="E13" s="6"/>
      <x:c r="F13" s="6"/>
      <x:c r="G13" s="6"/>
      <x:c r="H13" s="6"/>
    </x:row>
    <x:row r="14" ht="21" customHeight="1">
      <x:c r="A14" s="6"/>
      <x:c r="B14" s="6"/>
      <x:c r="C14" s="6"/>
      <x:c r="D14" s="6"/>
      <x:c r="E14" s="6"/>
      <x:c r="F14" s="6"/>
      <x:c r="G14" s="6"/>
      <x:c r="H14" s="6"/>
    </x:row>
    <x:row r="15" ht="21" customHeight="1">
      <x:c r="A15" s="152" t="str">
        <x:v>SIMPLE MACRO NAMES
Build_Finance_Exception_Report • Reset_Report • CC110_Report</x:v>
      </x:c>
      <x:c r="B15" s="152"/>
      <x:c r="C15" s="152"/>
      <x:c r="D15" s="152"/>
      <x:c r="E15" s="152"/>
      <x:c r="F15" s="152"/>
      <x:c r="G15" s="152"/>
      <x:c r="H15" s="152"/>
    </x:row>
    <x:row r="16" ht="21" customHeight="1">
      <x:c r="A16" s="152"/>
      <x:c r="B16" s="152"/>
      <x:c r="C16" s="152"/>
      <x:c r="D16" s="152"/>
      <x:c r="E16" s="152"/>
      <x:c r="F16" s="152"/>
      <x:c r="G16" s="152"/>
      <x:c r="H16" s="152"/>
    </x:row>
    <x:row r="17" ht="21" customHeight="1">
      <x:c r="A17" s="152"/>
      <x:c r="B17" s="152"/>
      <x:c r="C17" s="152"/>
      <x:c r="D17" s="152"/>
      <x:c r="E17" s="152"/>
      <x:c r="F17" s="152"/>
      <x:c r="G17" s="152"/>
      <x:c r="H17" s="152"/>
    </x:row>
    <x:row r="18" ht="21" customHeight="1">
      <x:c r="A18" s="6"/>
      <x:c r="B18" s="6"/>
      <x:c r="C18" s="6"/>
      <x:c r="D18" s="6"/>
      <x:c r="E18" s="6"/>
      <x:c r="F18" s="6"/>
      <x:c r="G18" s="6"/>
      <x:c r="H18" s="6"/>
    </x:row>
    <x:row r="19" ht="21" customHeight="1">
      <x:c r="A19" s="6"/>
      <x:c r="B19" s="6"/>
      <x:c r="C19" s="6"/>
      <x:c r="D19" s="6"/>
      <x:c r="E19" s="6"/>
      <x:c r="F19" s="6"/>
      <x:c r="G19" s="6"/>
      <x:c r="H19" s="6"/>
    </x:row>
    <x:row r="20" ht="21" customHeight="1">
      <x:c r="A20" s="6"/>
      <x:c r="B20" s="6"/>
      <x:c r="C20" s="6"/>
      <x:c r="D20" s="6"/>
      <x:c r="E20" s="6"/>
      <x:c r="F20" s="6"/>
      <x:c r="G20" s="6"/>
      <x:c r="H20" s="6"/>
    </x:row>
    <x:row r="21" ht="21" customHeight="1">
      <x:c r="A21" s="6"/>
      <x:c r="B21" s="6"/>
      <x:c r="C21" s="6"/>
      <x:c r="D21" s="6"/>
      <x:c r="E21" s="6"/>
      <x:c r="F21" s="6"/>
      <x:c r="G21" s="6"/>
      <x:c r="H21" s="6"/>
    </x:row>
    <x:row r="22" ht="21" customHeight="1">
      <x:c r="A22" s="6"/>
      <x:c r="B22" s="6"/>
      <x:c r="C22" s="6"/>
      <x:c r="D22" s="6"/>
      <x:c r="E22" s="6"/>
      <x:c r="F22" s="6"/>
      <x:c r="G22" s="6"/>
      <x:c r="H22" s="6"/>
    </x:row>
  </x:sheetData>
  <x:mergeCells>
    <x:mergeCell ref="A1:H2"/>
    <x:mergeCell ref="A3:H3"/>
    <x:mergeCell ref="A15:H1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sheetData>
    <x:row r="1" ht="21" customHeight="1">
      <x:c r="A1" s="156" t="str">
        <x:v>ARCHIVE • NOT USED IN CLASS</x:v>
      </x:c>
      <x:c r="B1" s="156"/>
      <x:c r="C1" s="156"/>
      <x:c r="D1" s="156"/>
      <x:c r="E1" s="156"/>
      <x:c r="F1" s="156"/>
    </x:row>
    <x:row r="2" ht="21" customHeight="1">
      <x:c r="A2" s="156"/>
      <x:c r="B2" s="156"/>
      <x:c r="C2" s="156"/>
      <x:c r="D2" s="156"/>
      <x:c r="E2" s="156"/>
      <x:c r="F2" s="156"/>
    </x:row>
    <x:row r="3" ht="21" customHeight="1">
      <x:c r="A3" s="6"/>
      <x:c r="B3" s="6"/>
      <x:c r="C3" s="6"/>
      <x:c r="D3" s="6"/>
      <x:c r="E3" s="6"/>
      <x:c r="F3" s="6"/>
    </x:row>
    <x:row r="4" ht="21" customHeight="1">
      <x:c r="A4" s="6"/>
      <x:c r="B4" s="6"/>
      <x:c r="C4" s="6"/>
      <x:c r="D4" s="6"/>
      <x:c r="E4" s="6"/>
      <x:c r="F4" s="6"/>
    </x:row>
    <x:row r="5" ht="21" customHeight="1">
      <x:c r="A5" s="163" t="str">
        <x:v>Intentionally not part of the learner flow.</x:v>
      </x:c>
      <x:c r="B5" s="163"/>
      <x:c r="C5" s="163"/>
      <x:c r="D5" s="163"/>
      <x:c r="E5" s="163"/>
      <x:c r="F5" s="163"/>
    </x:row>
    <x:row r="6" ht="21" customHeight="1">
      <x:c r="A6" s="163"/>
      <x:c r="B6" s="163"/>
      <x:c r="C6" s="163"/>
      <x:c r="D6" s="163"/>
      <x:c r="E6" s="163"/>
      <x:c r="F6" s="163"/>
    </x:row>
    <x:row r="7" ht="21" customHeight="1">
      <x:c r="A7" s="163"/>
      <x:c r="B7" s="163"/>
      <x:c r="C7" s="163"/>
      <x:c r="D7" s="163"/>
      <x:c r="E7" s="163"/>
      <x:c r="F7" s="163"/>
    </x:row>
    <x:row r="8" ht="21" customHeight="1">
      <x:c r="A8" s="6"/>
      <x:c r="B8" s="6"/>
      <x:c r="C8" s="6"/>
      <x:c r="D8" s="6"/>
      <x:c r="E8" s="6"/>
      <x:c r="F8" s="6"/>
    </x:row>
    <x:row r="9" ht="21" customHeight="1">
      <x:c r="A9" s="6"/>
      <x:c r="B9" s="6"/>
      <x:c r="C9" s="6"/>
      <x:c r="D9" s="6"/>
      <x:c r="E9" s="6"/>
      <x:c r="F9" s="6"/>
    </x:row>
    <x:row r="10" ht="21" customHeight="1">
      <x:c r="A10" s="6"/>
      <x:c r="B10" s="6"/>
      <x:c r="C10" s="6"/>
      <x:c r="D10" s="6"/>
      <x:c r="E10" s="6"/>
      <x:c r="F10" s="6"/>
    </x:row>
    <x:row r="11" ht="21" customHeight="1">
      <x:c r="A11" s="6"/>
      <x:c r="B11" s="6"/>
      <x:c r="C11" s="6"/>
      <x:c r="D11" s="6"/>
      <x:c r="E11" s="6"/>
      <x:c r="F11" s="6"/>
    </x:row>
    <x:row r="12" ht="21" customHeight="1">
      <x:c r="A12" s="6"/>
      <x:c r="B12" s="6"/>
      <x:c r="C12" s="6"/>
      <x:c r="D12" s="6"/>
      <x:c r="E12" s="6"/>
      <x:c r="F12" s="6"/>
    </x:row>
  </x:sheetData>
  <x:mergeCells>
    <x:mergeCell ref="A1:F2"/>
    <x:mergeCell ref="A5:F7"/>
  </x:mergeCells>
  <x:pageMargins left="0.7" right="0.7" top="0.75" bottom="0.75" header="0.3" footer="0.3"/>
</x:worksheet>
</file>