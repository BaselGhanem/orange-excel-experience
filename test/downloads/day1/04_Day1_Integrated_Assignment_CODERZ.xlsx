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.ghanem\Downloads\"/>
    </mc:Choice>
  </mc:AlternateContent>
  <xr:revisionPtr revIDLastSave="0" documentId="13_ncr:1_{E68E4C8D-3943-40BA-B82D-BEEBE4D54CA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00_COVER" sheetId="1" r:id="rId1"/>
    <sheet name="01_ASSIGNMENT_BRIEF" sheetId="2" r:id="rId2"/>
    <sheet name="02_CUSTOMER_MASTER" sheetId="3" r:id="rId3"/>
    <sheet name="03_WORKSPACE_A" sheetId="5" r:id="rId4"/>
    <sheet name="04_WORKSPACE_B" sheetId="6" r:id="rId5"/>
    <sheet name="05_MANAGEMENT_CONSOL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7" l="1"/>
  <c r="G46" i="7"/>
  <c r="F47" i="7"/>
  <c r="G47" i="7"/>
  <c r="F48" i="7"/>
  <c r="G48" i="7"/>
  <c r="F49" i="7"/>
  <c r="G49" i="7"/>
  <c r="F50" i="7"/>
  <c r="G50" i="7"/>
</calcChain>
</file>

<file path=xl/sharedStrings.xml><?xml version="1.0" encoding="utf-8"?>
<sst xmlns="http://schemas.openxmlformats.org/spreadsheetml/2006/main" count="612" uniqueCount="293">
  <si>
    <t>DAY 1 • INTEGRATED BUSINESS ASSIGNMENT</t>
  </si>
  <si>
    <t>مهمة اليوم الأول • اربط الأدوات مع بعض بدل ما تحل كل دالة لحالها</t>
  </si>
  <si>
    <t>4:30 PM. The operations manager needs a clean, enriched, decision-ready file before tomorrow morning.</t>
  </si>
  <si>
    <t>ADVANCED EXCEL  •  CODERZ × ORANGE JORDAN  •  DAY 1</t>
  </si>
  <si>
    <t>01
PARSE
Text → Fields</t>
  </si>
  <si>
    <t>02
ENRICH
XLOOKUP → Context</t>
  </si>
  <si>
    <t>03
DECIDE
Logic → Action</t>
  </si>
  <si>
    <t>04
MEASURE
Dates + Criteria</t>
  </si>
  <si>
    <t>05
REPORT
Dynamic Arrays + Management Questions</t>
  </si>
  <si>
    <t>Suggested time: 45–60 minutes  •  Individual first, then compare logic with a partner.</t>
  </si>
  <si>
    <t>THE 4:30 PM HANDOVER</t>
  </si>
  <si>
    <t>ملف العمليات لازم يكون جاهز للإدارة قبل بكرة</t>
  </si>
  <si>
    <t>YOUR MISSION  •  Complete the tasks in order. Do not repair the source data manually. Use formulas and dynamic arrays.</t>
  </si>
  <si>
    <t>المطلوب منك  •  حلّ المهام بالترتيب. لا تصلّح بيانات المصدر يدوياً؛ استخدم المعادلات والمصفوفات الديناميكية.</t>
  </si>
  <si>
    <t>SCENARIO  •  You received a Customer Master and a raw Service Order Feed. Turn them into a clean, enriched, decision-ready file.</t>
  </si>
  <si>
    <t>#</t>
  </si>
  <si>
    <t>STAGE</t>
  </si>
  <si>
    <t>BUSINESS TASK</t>
  </si>
  <si>
    <t>WORKSHEET</t>
  </si>
  <si>
    <t>STATUS</t>
  </si>
  <si>
    <t>PARSE</t>
  </si>
  <si>
    <t>Extract Region, Service, Customer ID and Order Type from the Composite Key.</t>
  </si>
  <si>
    <t>04_WORKSPACE_A</t>
  </si>
  <si>
    <t>Not Started</t>
  </si>
  <si>
    <t>VALIDATE</t>
  </si>
  <si>
    <t>Flag Account References that are not stored as text.</t>
  </si>
  <si>
    <t>ENRICH</t>
  </si>
  <si>
    <t>Use XLOOKUP to return Plan, Account Manager, Account Status and Monthly Fee.</t>
  </si>
  <si>
    <t>PERFORMANCE</t>
  </si>
  <si>
    <t>Calculate Achievement % and classify performance with IFS.</t>
  </si>
  <si>
    <t>ESCALATION</t>
  </si>
  <si>
    <t>Build the Active AND (Tickets ≥ 8 OR Resolution &gt; SLA) rule.</t>
  </si>
  <si>
    <t>SAFE LOGIC</t>
  </si>
  <si>
    <t>Calculate Resolution / SLA safely using IFERROR.</t>
  </si>
  <si>
    <t>DATES</t>
  </si>
  <si>
    <t>Calculate Business Days and SLA Status.</t>
  </si>
  <si>
    <t>05_WORKSPACE_B</t>
  </si>
  <si>
    <t>DYNAMIC LIST</t>
  </si>
  <si>
    <t>Build a SORT + UNIQUE list, then FILTER active Corporate customers.</t>
  </si>
  <si>
    <t>06_MANAGEMENT_CONSOLE</t>
  </si>
  <si>
    <t>MANAGEMENT</t>
  </si>
  <si>
    <t>Answer SUMIFS / COUNTIFS / AVERAGEIFS questions from dynamic criteria.</t>
  </si>
  <si>
    <t>REFLECTION</t>
  </si>
  <si>
    <t>Choose one repeated step you would automate with Power Query tomorrow.</t>
  </si>
  <si>
    <t>RULES  •  Logic first → Formula second  •  Use formulas, not manual fixes  •  Keep source data unchanged</t>
  </si>
  <si>
    <t>قاعدة مهمة  •  افهم سبب الـError قبل ما تعالجه، وإذا ظهر #SPILL! افحص مساحة النتيجة أولاً.</t>
  </si>
  <si>
    <t>DATA HUB 01  •  CUSTOMER MASTER</t>
  </si>
  <si>
    <t>مرجع العملاء • استخدمه للـXLOOKUP والأسئلة الإدارية</t>
  </si>
  <si>
    <t>YOUR MISSION  •  Use this table as a reference. Do not edit it.</t>
  </si>
  <si>
    <t>المطلوب منك  •  استخدم هذا الجدول كمرجع فقط ولا تعدّل بياناته.</t>
  </si>
  <si>
    <t>Customer ID</t>
  </si>
  <si>
    <t>Customer Name</t>
  </si>
  <si>
    <t>Segment</t>
  </si>
  <si>
    <t>Region</t>
  </si>
  <si>
    <t>Service</t>
  </si>
  <si>
    <t>Plan</t>
  </si>
  <si>
    <t>Account Manager</t>
  </si>
  <si>
    <t>Account Status</t>
  </si>
  <si>
    <t>Monthly Fee</t>
  </si>
  <si>
    <t>C41001</t>
  </si>
  <si>
    <t>Customer 01</t>
  </si>
  <si>
    <t>Consumer</t>
  </si>
  <si>
    <t>Amman</t>
  </si>
  <si>
    <t>5G Home</t>
  </si>
  <si>
    <t>5G Home 200</t>
  </si>
  <si>
    <t>Omar Nasser</t>
  </si>
  <si>
    <t>Active</t>
  </si>
  <si>
    <t>C41002</t>
  </si>
  <si>
    <t>Customer 02</t>
  </si>
  <si>
    <t>SME</t>
  </si>
  <si>
    <t>5G Home Unlimited</t>
  </si>
  <si>
    <t>Tareq Hamdan</t>
  </si>
  <si>
    <t>C41003</t>
  </si>
  <si>
    <t>Customer 03</t>
  </si>
  <si>
    <t>Zarqa</t>
  </si>
  <si>
    <t>Fiber</t>
  </si>
  <si>
    <t>Fiber 1000</t>
  </si>
  <si>
    <t>C41004</t>
  </si>
  <si>
    <t>Customer 04</t>
  </si>
  <si>
    <t>Irbid</t>
  </si>
  <si>
    <t>Fiber 300</t>
  </si>
  <si>
    <t>C41005</t>
  </si>
  <si>
    <t>Customer 05</t>
  </si>
  <si>
    <t>Dana Saleh</t>
  </si>
  <si>
    <t>C41006</t>
  </si>
  <si>
    <t>Customer 06</t>
  </si>
  <si>
    <t>Aqaba</t>
  </si>
  <si>
    <t>Enterprise Data</t>
  </si>
  <si>
    <t>MPLS Core</t>
  </si>
  <si>
    <t>C41007</t>
  </si>
  <si>
    <t>Customer 07</t>
  </si>
  <si>
    <t>Corporate</t>
  </si>
  <si>
    <t>Mobile</t>
  </si>
  <si>
    <t>Business Mobile</t>
  </si>
  <si>
    <t>C41008</t>
  </si>
  <si>
    <t>Customer 08</t>
  </si>
  <si>
    <t>Mobile Plus</t>
  </si>
  <si>
    <t>Yazan Khalil</t>
  </si>
  <si>
    <t>C41009</t>
  </si>
  <si>
    <t>Customer 09</t>
  </si>
  <si>
    <t>Fiber 600</t>
  </si>
  <si>
    <t>C41010</t>
  </si>
  <si>
    <t>Customer 10</t>
  </si>
  <si>
    <t>Mobile Max</t>
  </si>
  <si>
    <t>Rana Odeh</t>
  </si>
  <si>
    <t>Pending</t>
  </si>
  <si>
    <t>C41011</t>
  </si>
  <si>
    <t>Customer 11</t>
  </si>
  <si>
    <t>C41012</t>
  </si>
  <si>
    <t>Customer 12</t>
  </si>
  <si>
    <t>C41013</t>
  </si>
  <si>
    <t>Customer 13</t>
  </si>
  <si>
    <t>C41014</t>
  </si>
  <si>
    <t>Customer 14</t>
  </si>
  <si>
    <t>SD-WAN</t>
  </si>
  <si>
    <t>Suspended</t>
  </si>
  <si>
    <t>C41015</t>
  </si>
  <si>
    <t>Customer 15</t>
  </si>
  <si>
    <t>C41016</t>
  </si>
  <si>
    <t>Customer 16</t>
  </si>
  <si>
    <t>Balqa</t>
  </si>
  <si>
    <t>Dedicated Internet</t>
  </si>
  <si>
    <t>Lina Haddad</t>
  </si>
  <si>
    <t>C41017</t>
  </si>
  <si>
    <t>Customer 17</t>
  </si>
  <si>
    <t>C41018</t>
  </si>
  <si>
    <t>Customer 18</t>
  </si>
  <si>
    <t>C41019</t>
  </si>
  <si>
    <t>Customer 19</t>
  </si>
  <si>
    <t>C41020</t>
  </si>
  <si>
    <t>Customer 20</t>
  </si>
  <si>
    <t>C41021</t>
  </si>
  <si>
    <t>Customer 21</t>
  </si>
  <si>
    <t>C41022</t>
  </si>
  <si>
    <t>Customer 22</t>
  </si>
  <si>
    <t>C41023</t>
  </si>
  <si>
    <t>Customer 23</t>
  </si>
  <si>
    <t>C41024</t>
  </si>
  <si>
    <t>Customer 24</t>
  </si>
  <si>
    <t>C41025</t>
  </si>
  <si>
    <t>Customer 25</t>
  </si>
  <si>
    <t>C41026</t>
  </si>
  <si>
    <t>Customer 26</t>
  </si>
  <si>
    <t>C41027</t>
  </si>
  <si>
    <t>Customer 27</t>
  </si>
  <si>
    <t>C41028</t>
  </si>
  <si>
    <t>Customer 28</t>
  </si>
  <si>
    <t>C41029</t>
  </si>
  <si>
    <t>Customer 29</t>
  </si>
  <si>
    <t>C41030</t>
  </si>
  <si>
    <t>Customer 30</t>
  </si>
  <si>
    <t>C41031</t>
  </si>
  <si>
    <t>Customer 31</t>
  </si>
  <si>
    <t>C41032</t>
  </si>
  <si>
    <t>Customer 32</t>
  </si>
  <si>
    <t>C41033</t>
  </si>
  <si>
    <t>Customer 33</t>
  </si>
  <si>
    <t>C41034</t>
  </si>
  <si>
    <t>Customer 34</t>
  </si>
  <si>
    <t>C41035</t>
  </si>
  <si>
    <t>Customer 35</t>
  </si>
  <si>
    <t>C41036</t>
  </si>
  <si>
    <t>Customer 36</t>
  </si>
  <si>
    <t>C41037</t>
  </si>
  <si>
    <t>Customer 37</t>
  </si>
  <si>
    <t>C41038</t>
  </si>
  <si>
    <t>Customer 38</t>
  </si>
  <si>
    <t>C41039</t>
  </si>
  <si>
    <t>Customer 39</t>
  </si>
  <si>
    <t>C41040</t>
  </si>
  <si>
    <t>Customer 40</t>
  </si>
  <si>
    <t>Order ID</t>
  </si>
  <si>
    <t>Composite Key</t>
  </si>
  <si>
    <t>Account Reference</t>
  </si>
  <si>
    <t>Start Date</t>
  </si>
  <si>
    <t>Due Date</t>
  </si>
  <si>
    <t>Close Date</t>
  </si>
  <si>
    <t>Priority</t>
  </si>
  <si>
    <t>Revenue</t>
  </si>
  <si>
    <t>Target</t>
  </si>
  <si>
    <t>Tickets</t>
  </si>
  <si>
    <t>SLA Hours</t>
  </si>
  <si>
    <t>Resolution Hours</t>
  </si>
  <si>
    <t>ORD-0001</t>
  </si>
  <si>
    <t>Aqaba|5G Home|C41027|ACT</t>
  </si>
  <si>
    <t>ACC-95125</t>
  </si>
  <si>
    <t>Medium</t>
  </si>
  <si>
    <t>ORD-0002</t>
  </si>
  <si>
    <t>Irbid|Enterprise Data|C41014|UPG</t>
  </si>
  <si>
    <t>ACC-15863</t>
  </si>
  <si>
    <t>ORD-0003</t>
  </si>
  <si>
    <t>Irbid|Fiber|C41009|ACT</t>
  </si>
  <si>
    <t>ACC-53020</t>
  </si>
  <si>
    <t>High</t>
  </si>
  <si>
    <t>ORD-0004</t>
  </si>
  <si>
    <t>Amman|5G Home|C41030|ACT</t>
  </si>
  <si>
    <t>ACC-28045</t>
  </si>
  <si>
    <t>ORD-0005</t>
  </si>
  <si>
    <t>Balqa|Fiber|C41029|REN</t>
  </si>
  <si>
    <t>ORD-0006</t>
  </si>
  <si>
    <t>Zarqa|Mobile|C41017|REN</t>
  </si>
  <si>
    <t>ACC-51677</t>
  </si>
  <si>
    <t>ORD-0007</t>
  </si>
  <si>
    <t>ACC-48995</t>
  </si>
  <si>
    <t>ORD-0008</t>
  </si>
  <si>
    <t>Amman|Mobile|C41012|MIG</t>
  </si>
  <si>
    <t>Low</t>
  </si>
  <si>
    <t>ORD-0009</t>
  </si>
  <si>
    <t>Amman|5G Home|C41002|UPG</t>
  </si>
  <si>
    <t>ACC-71440</t>
  </si>
  <si>
    <t>ORD-0010</t>
  </si>
  <si>
    <t>Balqa|Fiber|C41029|UPG</t>
  </si>
  <si>
    <t>ACC-98905</t>
  </si>
  <si>
    <t>ORD-0011</t>
  </si>
  <si>
    <t>Amman|5G Home|C41030|REN</t>
  </si>
  <si>
    <t>ACC-11842</t>
  </si>
  <si>
    <t>ORD-0012</t>
  </si>
  <si>
    <t>Balqa|5G Home|C41035|REN</t>
  </si>
  <si>
    <t>ACC-47819</t>
  </si>
  <si>
    <t>ORD-0013</t>
  </si>
  <si>
    <t>Amman|5G Home|C41001|UPG</t>
  </si>
  <si>
    <t>ACC-80589</t>
  </si>
  <si>
    <t>ORD-0014</t>
  </si>
  <si>
    <t>Amman|Fiber|C41015|MIG</t>
  </si>
  <si>
    <t>ACC-58772</t>
  </si>
  <si>
    <t>ORD-0015</t>
  </si>
  <si>
    <t>Zarqa|5G Home|C41028|MIG</t>
  </si>
  <si>
    <t>ACC-97659</t>
  </si>
  <si>
    <t>ORD-0016</t>
  </si>
  <si>
    <t>Aqaba|Mobile|C41007|MIG</t>
  </si>
  <si>
    <t>ORD-0017</t>
  </si>
  <si>
    <t>Zarqa|Mobile|C41017|ACT</t>
  </si>
  <si>
    <t>ACC-35310</t>
  </si>
  <si>
    <t>ORD-0018</t>
  </si>
  <si>
    <t>Zarqa|Mobile|C41017|MIG</t>
  </si>
  <si>
    <t>ACC-41638</t>
  </si>
  <si>
    <t>ORD-0019</t>
  </si>
  <si>
    <t>Amman|Mobile|C41032|ACT</t>
  </si>
  <si>
    <t>ORD-0024</t>
  </si>
  <si>
    <t>Aqaba|Mobile|C41007|UPG</t>
  </si>
  <si>
    <t>ORD-0032</t>
  </si>
  <si>
    <t>Amman|Mobile|C41032|MIG</t>
  </si>
  <si>
    <t>ORD-0037</t>
  </si>
  <si>
    <t>Amman|Mobile|C41012|UPG</t>
  </si>
  <si>
    <t>ORD-0048</t>
  </si>
  <si>
    <t>ORD-0061</t>
  </si>
  <si>
    <t>Aqaba|Mobile|C41010|UPG</t>
  </si>
  <si>
    <t>WORKSPACE A  •  PARSE → ENRICH → DECIDE</t>
  </si>
  <si>
    <t>النصوص + XLOOKUP + Logic في نفس الجدول</t>
  </si>
  <si>
    <t>YOUR MISSION  •  Complete the yellow columns for all rows. Use the source values on the left; do not type outputs manually.</t>
  </si>
  <si>
    <t>المطلوب منك  •  عبّي الأعمدة الصفراء لكل الصفوف باستخدام المعادلات، ولا تكتب النتائج يدوياً.</t>
  </si>
  <si>
    <t>Order Type</t>
  </si>
  <si>
    <t>Type Flag</t>
  </si>
  <si>
    <t>Achievement %</t>
  </si>
  <si>
    <t>Performance Tier</t>
  </si>
  <si>
    <t>TASK 5 • ESCALATION RULE
Create an extra result in S? No — use the mini-console below to avoid making this table too wide.</t>
  </si>
  <si>
    <t>TASK 5 • ESCALATION RULE  •  Use the mini-console below for Escalate? and Safe Ratio.</t>
  </si>
  <si>
    <t>Escalate?</t>
  </si>
  <si>
    <t>Resolution</t>
  </si>
  <si>
    <t>SLA</t>
  </si>
  <si>
    <t>Safe Ratio</t>
  </si>
  <si>
    <t>Use</t>
  </si>
  <si>
    <t>IFERROR</t>
  </si>
  <si>
    <t>WORKSPACE B  •  DATE INTELLIGENCE</t>
  </si>
  <si>
    <t>التواريخ كبيانات تشغيلية، مش مجرد شكل</t>
  </si>
  <si>
    <t>Year</t>
  </si>
  <si>
    <t>Month</t>
  </si>
  <si>
    <t>Business Days</t>
  </si>
  <si>
    <t>SLA Status</t>
  </si>
  <si>
    <t>Calendar Days</t>
  </si>
  <si>
    <t>CHECK YOUR THINKING  •  Calendar Days and Business Days answer different questions. Do not assume the larger number is the correct KPI.</t>
  </si>
  <si>
    <t>سؤال للنقاش  •  إذا عندكم Holidays رسمية، وين لازم تدخل في NETWORKDAYS؟</t>
  </si>
  <si>
    <t>MANAGEMENT CONSOLE  •  ANSWER WITHOUT MANUAL FILTERING</t>
  </si>
  <si>
    <t>خلّي الشروط تتحكم بالجواب بدل ما تعيد الفلترة كل مرة</t>
  </si>
  <si>
    <t>YOUR MISSION  •  Build the dynamic lists and management answers. Change the yellow criteria to test whether your formulas adapt.</t>
  </si>
  <si>
    <t>المطلوب منك  •  ابنِ القوائم الديناميكية والإجابات، وبعدها غيّر الشروط الصفراء وتأكد أن المعادلات تتكيف.</t>
  </si>
  <si>
    <t>DYNAMIC ARRAY 01  •  SORT + UNIQUE</t>
  </si>
  <si>
    <t>DYNAMIC ARRAY 02  •  FILTER ACTIVE CORPORATE CUSTOMERS</t>
  </si>
  <si>
    <t>Build a sorted unique list of Services found in Workspace A</t>
  </si>
  <si>
    <t>MANAGEMENT QUESTION</t>
  </si>
  <si>
    <t>RESULT</t>
  </si>
  <si>
    <t>USE</t>
  </si>
  <si>
    <t>Total Monthly Fee for selected Region + Segment + Status</t>
  </si>
  <si>
    <t>SUMIFS</t>
  </si>
  <si>
    <t>Minimum Monthly Fee</t>
  </si>
  <si>
    <t>Count customers for selected Region + Segment + Status</t>
  </si>
  <si>
    <t>COUNTIFS</t>
  </si>
  <si>
    <t>Average Monthly Fee for selected Region + Service</t>
  </si>
  <si>
    <t>AVERAGEIFS</t>
  </si>
  <si>
    <t>Count Active customers with Monthly Fee &gt;= selected minimum</t>
  </si>
  <si>
    <t>FINAL REFLECTION  •  Which repeated Day 1 step would you automate next — and why?</t>
  </si>
  <si>
    <t>Use Start Date for Year and Month. Calculate Business Days and Calendar Days from Start Date to Close Date, then compare Close Date with Due Date to determine SLA Status.</t>
  </si>
  <si>
    <t>استخدم Start Date لاستخراج السنة والشهر، واحسب أيام العمل والأيام التقويمية من Start Date إلى Close Date، ثم قارن Close Date مع Due Date لتحديد حالة SLA.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</si>
</sst>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JOD&quot;"/>
    <numFmt numFmtId="165" formatCode="dd\-mmm\-yyyy"/>
    <numFmt numFmtId="166" formatCode="0.0%"/>
    <numFmt numFmtId="167" formatCode="0.00\x"/>
  </numFmts>
  <fonts count="39">
    <font>
      <sz val="11"/>
      <name val="Carlito"/>
    </font>
    <font>
      <sz val="10"/>
      <color rgb="FF25313B"/>
      <name val="Aptos"/>
    </font>
    <font>
      <b/>
      <sz val="20"/>
      <color rgb="FFFFFFFF"/>
      <name val="Aptos"/>
    </font>
    <font>
      <b/>
      <sz val="11"/>
      <color rgb="FF25313B"/>
      <name val="Aptos"/>
    </font>
    <font>
      <b/>
      <sz val="10"/>
      <color rgb="FFFFFFFF"/>
      <name val="Aptos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11"/>
      <color rgb="FF374550"/>
      <name val="Aptos"/>
    </font>
    <font>
      <b/>
      <sz val="11"/>
      <color rgb="FFA885D8"/>
      <name val="Aptos"/>
    </font>
    <font>
      <b/>
      <sz val="9"/>
      <color rgb="FF6B7782"/>
      <name val="Aptos"/>
    </font>
    <font>
      <b/>
      <sz val="18"/>
      <color rgb="FFFFFFFF"/>
      <name val="Aptos"/>
    </font>
    <font>
      <b/>
      <sz val="10"/>
      <color rgb="FF147EEA"/>
      <name val="Aptos"/>
    </font>
    <font>
      <b/>
      <sz val="9"/>
      <color rgb="FFFF7900"/>
      <name val="Arial"/>
    </font>
    <font>
      <b/>
      <sz val="10"/>
      <color rgb="FF25313B"/>
      <name val="Aptos"/>
    </font>
    <font>
      <b/>
      <sz val="9"/>
      <color rgb="FFFFFFFF"/>
      <name val="Aptos"/>
    </font>
    <font>
      <sz val="9"/>
      <color rgb="FF25313B"/>
      <name val="Aptos"/>
    </font>
    <font>
      <b/>
      <sz val="9"/>
      <color rgb="FF147EEA"/>
      <name val="Aptos"/>
    </font>
    <font>
      <b/>
      <sz val="17"/>
      <color rgb="FFFFFFFF"/>
      <name val="Aptos"/>
    </font>
    <font>
      <b/>
      <sz val="9"/>
      <color rgb="FF25313B"/>
      <name val="Aptos"/>
    </font>
    <font>
      <sz val="10"/>
      <color rgb="FFFFFFFF"/>
      <name val="Aptos"/>
    </font>
    <font>
      <b/>
      <sz val="10"/>
      <color rgb="FFFF7900"/>
      <name val="Aptos"/>
    </font>
    <font>
      <b/>
      <sz val="10"/>
      <color rgb="FF50BE87"/>
      <name val="Aptos"/>
    </font>
    <font>
      <b/>
      <sz val="10"/>
      <color rgb="FFFF7900"/>
      <name val="Dubai"/>
    </font>
    <font>
      <b/>
      <sz val="9"/>
      <color rgb="FFFF7900"/>
      <name val="Dubai"/>
    </font>
    <font>
      <b/>
      <sz val="11"/>
      <color rgb="FFFF7900"/>
      <name val="Dubai"/>
      <family val="2"/>
    </font>
    <font>
      <b/>
      <sz val="12"/>
      <color rgb="FFFF7900"/>
      <name val="Dubai"/>
      <family val="2"/>
    </font>
    <font>
      <b/>
      <sz val="14"/>
      <color rgb="FFFF7900"/>
      <name val="Dubai"/>
      <family val="2"/>
    </font>
    <font>
      <b/>
      <sz val="16"/>
      <color rgb="FFFF7900"/>
      <name val="Dubai"/>
      <family val="2"/>
    </font>
    <font>
      <b/>
      <sz val="18"/>
      <color rgb="FFFF7900"/>
      <name val="Dubai"/>
      <family val="2"/>
    </font>
    <font>
      <b/>
      <sz val="11"/>
      <color rgb="FFFF7900"/>
      <name val="Arial"/>
      <family val="2"/>
    </font>
    <font>
      <b/>
      <sz val="12"/>
      <color rgb="FFFF7900"/>
      <name val="Arial"/>
      <family val="2"/>
    </font>
    <font>
      <b/>
      <sz val="14"/>
      <color rgb="FFFF7900"/>
      <name val="Arial"/>
      <family val="2"/>
    </font>
    <font>
      <b/>
      <sz val="16"/>
      <color rgb="FFFF7900"/>
      <name val="Arial"/>
      <family val="2"/>
    </font>
    <font>
      <b/>
      <sz val="14"/>
      <color rgb="FF147EEA"/>
      <name val="Aptos"/>
      <family val="2"/>
    </font>
    <font>
      <b/>
      <sz val="16"/>
      <color rgb="FF147EEA"/>
      <name val="Aptos"/>
      <family val="2"/>
    </font>
    <font>
      <b/>
      <sz val="9"/>
      <color rgb="FF25313B"/>
      <name val="Aptos"/>
      <family val="2"/>
    </font>
    <font>
      <b/>
      <sz val="11"/>
      <color rgb="FF25313B"/>
      <name val="Aptos"/>
      <family val="2"/>
    </font>
    <font>
      <sz val="11"/>
      <color rgb="FF25313B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47EEA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AFBFC"/>
      </patternFill>
    </fill>
    <fill>
      <patternFill patternType="solid">
        <fgColor rgb="FFF3EFFB"/>
      </patternFill>
    </fill>
    <fill>
      <patternFill patternType="solid">
        <fgColor rgb="FFFFF7CC"/>
      </patternFill>
    </fill>
    <fill>
      <patternFill patternType="solid">
        <fgColor rgb="FF374550"/>
      </patternFill>
    </fill>
    <fill>
      <patternFill patternType="solid">
        <fgColor rgb="FFFF7900"/>
      </patternFill>
    </fill>
    <fill>
      <patternFill patternType="solid">
        <fgColor rgb="FF147EEA"/>
      </patternFill>
    </fill>
    <fill>
      <patternFill patternType="solid">
        <fgColor rgb="FF50BE87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F79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15" fillId="4" borderId="0" xfId="0" applyFont="1" applyFill="1" applyAlignment="1">
      <alignment horizontal="center" vertical="center" wrapText="1"/>
    </xf>
    <xf numFmtId="165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16" fillId="10" borderId="0" xfId="0" applyFont="1" applyFill="1" applyAlignment="1">
      <alignment vertical="center" wrapText="1"/>
    </xf>
    <xf numFmtId="166" fontId="16" fillId="10" borderId="0" xfId="0" applyNumberFormat="1" applyFont="1" applyFill="1" applyAlignment="1">
      <alignment vertical="center" wrapText="1"/>
    </xf>
    <xf numFmtId="0" fontId="19" fillId="8" borderId="0" xfId="0" applyFont="1" applyFill="1" applyAlignment="1">
      <alignment vertical="center" wrapText="1"/>
    </xf>
    <xf numFmtId="167" fontId="16" fillId="10" borderId="0" xfId="0" applyNumberFormat="1" applyFont="1" applyFill="1" applyAlignment="1">
      <alignment vertical="center" wrapText="1"/>
    </xf>
    <xf numFmtId="1" fontId="16" fillId="10" borderId="0" xfId="0" applyNumberFormat="1" applyFont="1" applyFill="1" applyAlignment="1">
      <alignment vertical="center" wrapText="1"/>
    </xf>
    <xf numFmtId="0" fontId="17" fillId="6" borderId="0" xfId="0" applyFont="1" applyFill="1" applyAlignment="1">
      <alignment horizontal="center" vertical="center" wrapText="1"/>
    </xf>
    <xf numFmtId="4" fontId="16" fillId="10" borderId="0" xfId="0" applyNumberFormat="1" applyFont="1" applyFill="1" applyAlignment="1">
      <alignment vertical="center" wrapText="1"/>
    </xf>
    <xf numFmtId="164" fontId="16" fillId="10" borderId="0" xfId="0" applyNumberFormat="1" applyFont="1" applyFill="1" applyAlignment="1">
      <alignment vertical="center" wrapText="1"/>
    </xf>
    <xf numFmtId="0" fontId="20" fillId="11" borderId="0" xfId="0" applyFont="1" applyFill="1" applyAlignment="1">
      <alignment vertical="center"/>
    </xf>
    <xf numFmtId="0" fontId="21" fillId="15" borderId="0" xfId="0" applyFont="1" applyFill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0" fillId="10" borderId="0" xfId="0" applyFill="1" applyAlignment="1">
      <alignment wrapText="1"/>
    </xf>
    <xf numFmtId="0" fontId="14" fillId="10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24" fillId="5" borderId="0" xfId="0" applyFont="1" applyFill="1" applyAlignment="1">
      <alignment horizontal="right" vertical="center" wrapText="1"/>
    </xf>
    <xf numFmtId="0" fontId="13" fillId="5" borderId="0" xfId="0" applyFont="1" applyFill="1" applyAlignment="1">
      <alignment horizontal="right" vertical="center" wrapText="1"/>
    </xf>
    <xf numFmtId="0" fontId="14" fillId="6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0" fontId="19" fillId="8" borderId="0" xfId="0" applyFont="1" applyFill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left" vertical="center" wrapText="1"/>
    </xf>
    <xf numFmtId="0" fontId="12" fillId="1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horizontal="left" vertical="center" wrapText="1"/>
    </xf>
    <xf numFmtId="0" fontId="30" fillId="5" borderId="0" xfId="0" applyFont="1" applyFill="1" applyAlignment="1">
      <alignment horizontal="left" vertical="center" wrapText="1"/>
    </xf>
    <xf numFmtId="0" fontId="26" fillId="5" borderId="0" xfId="0" applyFont="1" applyFill="1" applyAlignment="1">
      <alignment horizontal="left" vertical="center" wrapText="1"/>
    </xf>
    <xf numFmtId="0" fontId="31" fillId="5" borderId="0" xfId="0" applyFont="1" applyFill="1" applyAlignment="1">
      <alignment horizontal="left" vertical="center" wrapText="1"/>
    </xf>
    <xf numFmtId="0" fontId="27" fillId="5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left" vertical="center" wrapText="1"/>
    </xf>
    <xf numFmtId="0" fontId="32" fillId="5" borderId="0" xfId="0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6" borderId="0" xfId="0" applyFont="1" applyFill="1" applyAlignment="1">
      <alignment horizontal="left" vertical="center" wrapText="1"/>
    </xf>
    <xf numFmtId="0" fontId="33" fillId="5" borderId="2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vertical="center" wrapText="1"/>
    </xf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31" fillId="5" borderId="0" xfId="0" applyFont="1" applyFill="1" applyAlignment="1">
      <alignment vertical="center" wrapText="1"/>
    </xf>
    <xf numFmtId="0" fontId="37" fillId="8" borderId="0" xfId="0" applyFont="1" applyFill="1" applyAlignment="1">
      <alignment vertical="center" wrapText="1"/>
    </xf>
    <xf numFmtId="0" fontId="38" fillId="10" borderId="0" xfId="0" applyFont="1" applyFill="1" applyAlignment="1">
      <alignment vertical="center" wrapText="1"/>
    </xf>
    <xf numFmtId="164" fontId="38" fillId="10" borderId="0" xfId="0" applyNumberFormat="1" applyFont="1" applyFill="1" applyAlignment="1">
      <alignment vertical="center" wrapText="1"/>
    </xf>
  </cellXfs>
  <cellStyles count="1">
    <cellStyle name="Normal" xfId="0" builtinId="0"/>
  </cellStyles>
  <dxfs count="6">
    <dxf>
      <font>
        <b/>
        <color rgb="FF50BE87"/>
      </font>
      <fill>
        <patternFill>
          <bgColor rgb="FFEAF8F1"/>
        </patternFill>
      </fill>
    </dxf>
    <dxf>
      <font>
        <b/>
        <color rgb="FFFF7900"/>
      </font>
      <fill>
        <patternFill>
          <bgColor rgb="FFFFF3E8"/>
        </patternFill>
      </fill>
    </dxf>
    <dxf>
      <font>
        <b/>
        <color rgb="FF50BE87"/>
      </font>
      <fill>
        <patternFill>
          <bgColor rgb="FFEAF8F1"/>
        </patternFill>
      </fill>
    </dxf>
    <dxf>
      <font>
        <b/>
        <color rgb="FFB42318"/>
      </font>
      <fill>
        <patternFill>
          <bgColor rgb="FFFDECEC"/>
        </patternFill>
      </fill>
    </dxf>
    <dxf>
      <font>
        <b/>
        <color rgb="FFFF7900"/>
      </font>
      <fill>
        <patternFill>
          <bgColor rgb="FFFFF3E8"/>
        </patternFill>
      </fill>
    </dxf>
    <dxf>
      <font>
        <b/>
        <color rgb="FFFF7900"/>
      </font>
      <fill>
        <patternFill>
          <bgColor rgb="FFFFF3E8"/>
        </patternFill>
      </fill>
    </dxf>
  </dxfs>
  <tableStyles count="0" defaultTableStyle="TableStyleMedium2" defaultPivotStyle="PivotStyleLight16"/>
  <colors>
    <mruColors>
      <color rgb="FFFF7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904875</xdr:colOff>
      <xdr:row>1</xdr:row>
      <xdr:rowOff>228600</xdr:rowOff>
    </xdr:from>
    <xdr:ext cx="3143250" cy="933450"/>
    <xdr:pic>
      <xdr:nvPicPr>
        <xdr:cNvPr id="2" name="5cc04e87-0052-44fa-b846-6b5d8be2c07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495300"/>
          <a:ext cx="3143250" cy="933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66800" cy="314325"/>
    <xdr:pic>
      <xdr:nvPicPr>
        <xdr:cNvPr id="2" name="cabff9d9-6ba7-4b49-8d46-5fc3c72fd92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1" zoomScale="70" zoomScaleNormal="70" workbookViewId="0">
      <selection activeCell="E23" sqref="E23:G25"/>
    </sheetView>
  </sheetViews>
  <sheetFormatPr defaultRowHeight="14.25"/>
  <cols>
    <col min="1" max="1" width="4" customWidth="1"/>
    <col min="2" max="11" width="13" customWidth="1"/>
    <col min="12" max="12" width="4" customWidth="1"/>
  </cols>
  <sheetData>
    <row r="1" spans="1:12" ht="21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6.9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7" customHeight="1">
      <c r="A11" s="1"/>
      <c r="B11" s="26" t="s">
        <v>0</v>
      </c>
      <c r="C11" s="26"/>
      <c r="D11" s="26"/>
      <c r="E11" s="26"/>
      <c r="F11" s="26"/>
      <c r="G11" s="26"/>
      <c r="H11" s="26"/>
      <c r="I11" s="26"/>
      <c r="J11" s="26"/>
      <c r="K11" s="26"/>
      <c r="L11" s="1"/>
    </row>
    <row r="12" spans="1:12" ht="27" customHeight="1">
      <c r="A12" s="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1"/>
    </row>
    <row r="13" spans="1:12" ht="27" customHeight="1">
      <c r="A13" s="1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1"/>
    </row>
    <row r="14" spans="1:12" ht="27" customHeight="1">
      <c r="A14" s="1"/>
      <c r="B14" s="51" t="s">
        <v>1</v>
      </c>
      <c r="C14" s="51"/>
      <c r="D14" s="51"/>
      <c r="E14" s="51"/>
      <c r="F14" s="51"/>
      <c r="G14" s="51"/>
      <c r="H14" s="51"/>
      <c r="I14" s="51"/>
      <c r="J14" s="51"/>
      <c r="K14" s="51"/>
      <c r="L14" s="1"/>
    </row>
    <row r="15" spans="1:12" ht="27" customHeight="1">
      <c r="A15" s="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1"/>
    </row>
    <row r="16" spans="1:12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7" customHeight="1">
      <c r="A17" s="1"/>
      <c r="B17" s="27" t="s">
        <v>2</v>
      </c>
      <c r="C17" s="27"/>
      <c r="D17" s="27"/>
      <c r="E17" s="27"/>
      <c r="F17" s="27"/>
      <c r="G17" s="27"/>
      <c r="H17" s="27"/>
      <c r="I17" s="27"/>
      <c r="J17" s="27"/>
      <c r="K17" s="27"/>
      <c r="L17" s="1"/>
    </row>
    <row r="18" spans="1:12" ht="27" customHeight="1">
      <c r="A18" s="1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1"/>
    </row>
    <row r="19" spans="1:12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1" customHeight="1">
      <c r="A20" s="1"/>
      <c r="B20" s="28" t="s">
        <v>3</v>
      </c>
      <c r="C20" s="28"/>
      <c r="D20" s="28"/>
      <c r="E20" s="28"/>
      <c r="F20" s="28"/>
      <c r="G20" s="28"/>
      <c r="H20" s="28"/>
      <c r="I20" s="28"/>
      <c r="J20" s="28"/>
      <c r="K20" s="28"/>
      <c r="L20" s="1"/>
    </row>
    <row r="21" spans="1:12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7" customHeight="1">
      <c r="A23" s="1"/>
      <c r="B23" s="29" t="s">
        <v>4</v>
      </c>
      <c r="C23" s="29"/>
      <c r="D23" s="29"/>
      <c r="E23" s="30" t="s">
        <v>5</v>
      </c>
      <c r="F23" s="30"/>
      <c r="G23" s="30"/>
      <c r="H23" s="31" t="s">
        <v>6</v>
      </c>
      <c r="I23" s="31"/>
      <c r="J23" s="31"/>
      <c r="K23" s="1"/>
      <c r="L23" s="1"/>
    </row>
    <row r="24" spans="1:12" ht="27" customHeight="1">
      <c r="A24" s="1"/>
      <c r="B24" s="29"/>
      <c r="C24" s="29"/>
      <c r="D24" s="29"/>
      <c r="E24" s="30"/>
      <c r="F24" s="30"/>
      <c r="G24" s="30"/>
      <c r="H24" s="31"/>
      <c r="I24" s="31"/>
      <c r="J24" s="31"/>
      <c r="K24" s="1"/>
      <c r="L24" s="1"/>
    </row>
    <row r="25" spans="1:12" ht="27" customHeight="1">
      <c r="A25" s="1"/>
      <c r="B25" s="29"/>
      <c r="C25" s="29"/>
      <c r="D25" s="29"/>
      <c r="E25" s="30"/>
      <c r="F25" s="30"/>
      <c r="G25" s="30"/>
      <c r="H25" s="31"/>
      <c r="I25" s="31"/>
      <c r="J25" s="31"/>
      <c r="K25" s="1"/>
      <c r="L25" s="1"/>
    </row>
    <row r="26" spans="1:12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7" customHeight="1">
      <c r="A27" s="1"/>
      <c r="B27" s="32" t="s">
        <v>7</v>
      </c>
      <c r="C27" s="32"/>
      <c r="D27" s="32"/>
      <c r="E27" s="32"/>
      <c r="F27" s="32"/>
      <c r="G27" s="33" t="s">
        <v>8</v>
      </c>
      <c r="H27" s="33"/>
      <c r="I27" s="33"/>
      <c r="J27" s="33"/>
      <c r="K27" s="1"/>
      <c r="L27" s="1"/>
    </row>
    <row r="28" spans="1:12" ht="27" customHeight="1">
      <c r="A28" s="1"/>
      <c r="B28" s="32"/>
      <c r="C28" s="32"/>
      <c r="D28" s="32"/>
      <c r="E28" s="32"/>
      <c r="F28" s="32"/>
      <c r="G28" s="33"/>
      <c r="H28" s="33"/>
      <c r="I28" s="33"/>
      <c r="J28" s="33"/>
      <c r="K28" s="1"/>
      <c r="L28" s="1"/>
    </row>
    <row r="29" spans="1:12" ht="27" customHeight="1">
      <c r="A29" s="1"/>
      <c r="B29" s="32"/>
      <c r="C29" s="32"/>
      <c r="D29" s="32"/>
      <c r="E29" s="32"/>
      <c r="F29" s="32"/>
      <c r="G29" s="33"/>
      <c r="H29" s="33"/>
      <c r="I29" s="33"/>
      <c r="J29" s="33"/>
      <c r="K29" s="1"/>
      <c r="L29" s="1"/>
    </row>
    <row r="30" spans="1:12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" customHeight="1">
      <c r="A32" s="1"/>
      <c r="B32" s="34" t="s">
        <v>9</v>
      </c>
      <c r="C32" s="34"/>
      <c r="D32" s="34"/>
      <c r="E32" s="34"/>
      <c r="F32" s="34"/>
      <c r="G32" s="34"/>
      <c r="H32" s="34"/>
      <c r="I32" s="34"/>
      <c r="J32" s="34"/>
      <c r="K32" s="34"/>
      <c r="L32" s="1"/>
    </row>
    <row r="33" spans="1:12" ht="21" customHeight="1">
      <c r="A33" s="1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1"/>
    </row>
    <row r="34" spans="1:12" ht="2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10">
    <mergeCell ref="B27:F29"/>
    <mergeCell ref="G27:J29"/>
    <mergeCell ref="B32:K33"/>
    <mergeCell ref="B11:K13"/>
    <mergeCell ref="B14:K15"/>
    <mergeCell ref="B17:K18"/>
    <mergeCell ref="B20:K20"/>
    <mergeCell ref="B23:D25"/>
    <mergeCell ref="E23:G25"/>
    <mergeCell ref="H23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0"/>
  <sheetViews>
    <sheetView topLeftCell="A15" zoomScale="85" zoomScaleNormal="85" workbookViewId="0">
      <selection activeCell="C22" sqref="C22"/>
    </sheetView>
  </sheetViews>
  <sheetFormatPr defaultRowHeight="14.25"/>
  <cols>
    <col min="1" max="1" width="6" customWidth="1"/>
    <col min="2" max="2" width="16" customWidth="1"/>
    <col min="3" max="3" width="46" customWidth="1"/>
    <col min="4" max="4" width="23" customWidth="1"/>
    <col min="5" max="10" width="14" customWidth="1"/>
  </cols>
  <sheetData>
    <row r="1" spans="1:19" ht="21" customHeight="1">
      <c r="A1" s="35" t="s">
        <v>10</v>
      </c>
      <c r="B1" s="35"/>
      <c r="C1" s="35"/>
      <c r="D1" s="35"/>
      <c r="E1" s="35"/>
      <c r="F1" s="36"/>
      <c r="G1" s="36"/>
      <c r="H1" s="36"/>
      <c r="I1" s="36"/>
      <c r="J1" s="36"/>
      <c r="K1" s="20"/>
      <c r="L1" s="20"/>
      <c r="M1" s="20"/>
      <c r="N1" s="20"/>
      <c r="O1" s="20"/>
      <c r="P1" s="20"/>
      <c r="Q1" s="20"/>
      <c r="R1" s="20"/>
      <c r="S1" s="20"/>
    </row>
    <row r="2" spans="1:19" ht="21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20"/>
      <c r="L2" s="20"/>
      <c r="M2" s="20"/>
      <c r="N2" s="20"/>
      <c r="O2" s="20"/>
      <c r="P2" s="20"/>
      <c r="Q2" s="20"/>
      <c r="R2" s="20"/>
      <c r="S2" s="20"/>
    </row>
    <row r="3" spans="1:19" ht="31.5" customHeight="1">
      <c r="A3" s="60" t="s">
        <v>11</v>
      </c>
      <c r="B3" s="61"/>
      <c r="C3" s="61"/>
      <c r="D3" s="61"/>
      <c r="E3" s="61"/>
      <c r="F3" s="61"/>
      <c r="G3" s="61"/>
      <c r="H3" s="61"/>
      <c r="I3" s="61"/>
      <c r="J3" s="61"/>
      <c r="K3" s="20"/>
      <c r="L3" s="20"/>
      <c r="M3" s="20"/>
      <c r="N3" s="20"/>
      <c r="O3" s="20"/>
      <c r="P3" s="20"/>
      <c r="Q3" s="20"/>
      <c r="R3" s="20"/>
      <c r="S3" s="20"/>
    </row>
    <row r="4" spans="1:19" ht="21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0"/>
      <c r="L4" s="20"/>
      <c r="M4" s="20"/>
      <c r="N4" s="20"/>
      <c r="O4" s="20"/>
      <c r="P4" s="20"/>
      <c r="Q4" s="20"/>
      <c r="R4" s="20"/>
      <c r="S4" s="20"/>
    </row>
    <row r="5" spans="1:19" ht="21" customHeight="1">
      <c r="A5" s="62" t="s">
        <v>12</v>
      </c>
      <c r="B5" s="62"/>
      <c r="C5" s="62"/>
      <c r="D5" s="62"/>
      <c r="E5" s="62"/>
      <c r="F5" s="62"/>
      <c r="G5" s="62"/>
      <c r="H5" s="62"/>
      <c r="I5" s="62"/>
      <c r="J5" s="62"/>
      <c r="K5" s="20"/>
      <c r="L5" s="20"/>
      <c r="M5" s="20"/>
      <c r="N5" s="20"/>
      <c r="O5" s="20"/>
      <c r="P5" s="20"/>
      <c r="Q5" s="20"/>
      <c r="R5" s="20"/>
      <c r="S5" s="20"/>
    </row>
    <row r="6" spans="1:19" ht="21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20"/>
      <c r="L6" s="20"/>
      <c r="M6" s="20"/>
      <c r="N6" s="20"/>
      <c r="O6" s="20"/>
      <c r="P6" s="20"/>
      <c r="Q6" s="20"/>
      <c r="R6" s="20"/>
      <c r="S6" s="20"/>
    </row>
    <row r="7" spans="1:19" ht="21" customHeight="1">
      <c r="A7" s="54" t="s">
        <v>13</v>
      </c>
      <c r="B7" s="55"/>
      <c r="C7" s="55"/>
      <c r="D7" s="55"/>
      <c r="E7" s="55"/>
      <c r="F7" s="55"/>
      <c r="G7" s="55"/>
      <c r="H7" s="55"/>
      <c r="I7" s="55"/>
      <c r="J7" s="55"/>
      <c r="K7" s="20"/>
      <c r="L7" s="20"/>
      <c r="M7" s="20"/>
      <c r="N7" s="20"/>
      <c r="O7" s="20"/>
      <c r="P7" s="20"/>
      <c r="Q7" s="20"/>
      <c r="R7" s="20"/>
      <c r="S7" s="20"/>
    </row>
    <row r="8" spans="1:19" ht="21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20"/>
      <c r="L8" s="20"/>
      <c r="M8" s="20"/>
      <c r="N8" s="20"/>
      <c r="O8" s="20"/>
      <c r="P8" s="20"/>
      <c r="Q8" s="20"/>
      <c r="R8" s="20"/>
      <c r="S8" s="20"/>
    </row>
    <row r="9" spans="1:19" ht="21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0"/>
      <c r="L9" s="20"/>
      <c r="M9" s="20"/>
      <c r="N9" s="20"/>
      <c r="O9" s="20"/>
      <c r="P9" s="20"/>
      <c r="Q9" s="20"/>
      <c r="R9" s="20"/>
      <c r="S9" s="20"/>
    </row>
    <row r="10" spans="1:19" ht="21" customHeight="1">
      <c r="A10" s="40" t="s">
        <v>14</v>
      </c>
      <c r="B10" s="40"/>
      <c r="C10" s="40"/>
      <c r="D10" s="40"/>
      <c r="E10" s="40"/>
      <c r="F10" s="40"/>
      <c r="G10" s="40"/>
      <c r="H10" s="40"/>
      <c r="I10" s="40"/>
      <c r="J10" s="4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1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1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1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0"/>
      <c r="L13" s="20"/>
      <c r="M13" s="20"/>
      <c r="N13" s="20"/>
      <c r="O13" s="20"/>
      <c r="P13" s="20"/>
      <c r="Q13" s="20"/>
      <c r="R13" s="20"/>
      <c r="S13" s="20"/>
    </row>
    <row r="14" spans="1:19" ht="38.1" customHeight="1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  <c r="F14" s="21"/>
      <c r="G14" s="21"/>
      <c r="H14" s="21"/>
      <c r="I14" s="21"/>
      <c r="J14" s="21"/>
      <c r="K14" s="20"/>
      <c r="L14" s="20"/>
      <c r="M14" s="20"/>
      <c r="N14" s="20"/>
      <c r="O14" s="20"/>
      <c r="P14" s="20"/>
      <c r="Q14" s="20"/>
      <c r="R14" s="20"/>
      <c r="S14" s="20"/>
    </row>
    <row r="15" spans="1:19" ht="38.1" customHeight="1">
      <c r="A15" s="3">
        <v>1</v>
      </c>
      <c r="B15" s="13" t="s">
        <v>20</v>
      </c>
      <c r="C15" s="4" t="s">
        <v>21</v>
      </c>
      <c r="D15" s="4" t="s">
        <v>22</v>
      </c>
      <c r="E15" s="8" t="s">
        <v>23</v>
      </c>
      <c r="F15" s="21"/>
      <c r="G15" s="21"/>
      <c r="H15" s="21"/>
      <c r="I15" s="21"/>
      <c r="J15" s="21"/>
      <c r="K15" s="20"/>
      <c r="L15" s="20"/>
      <c r="M15" s="20"/>
      <c r="N15" s="20"/>
      <c r="O15" s="20"/>
      <c r="P15" s="20"/>
      <c r="Q15" s="20"/>
      <c r="R15" s="20"/>
      <c r="S15" s="20"/>
    </row>
    <row r="16" spans="1:19" ht="38.1" customHeight="1">
      <c r="A16" s="3">
        <v>2</v>
      </c>
      <c r="B16" s="13" t="s">
        <v>24</v>
      </c>
      <c r="C16" s="4" t="s">
        <v>25</v>
      </c>
      <c r="D16" s="4" t="s">
        <v>22</v>
      </c>
      <c r="E16" s="8" t="s">
        <v>23</v>
      </c>
      <c r="F16" s="21"/>
      <c r="G16" s="21"/>
      <c r="H16" s="21"/>
      <c r="I16" s="21"/>
      <c r="J16" s="21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38.1" customHeight="1">
      <c r="A17" s="3">
        <v>3</v>
      </c>
      <c r="B17" s="13" t="s">
        <v>26</v>
      </c>
      <c r="C17" s="4" t="s">
        <v>27</v>
      </c>
      <c r="D17" s="4" t="s">
        <v>22</v>
      </c>
      <c r="E17" s="8" t="s">
        <v>23</v>
      </c>
      <c r="F17" s="21"/>
      <c r="G17" s="21"/>
      <c r="H17" s="21"/>
      <c r="I17" s="21"/>
      <c r="J17" s="21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38.1" customHeight="1">
      <c r="A18" s="3">
        <v>4</v>
      </c>
      <c r="B18" s="13" t="s">
        <v>28</v>
      </c>
      <c r="C18" s="4" t="s">
        <v>29</v>
      </c>
      <c r="D18" s="4" t="s">
        <v>22</v>
      </c>
      <c r="E18" s="8" t="s">
        <v>23</v>
      </c>
      <c r="F18" s="21"/>
      <c r="G18" s="21"/>
      <c r="H18" s="21"/>
      <c r="I18" s="21"/>
      <c r="J18" s="21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38.1" customHeight="1">
      <c r="A19" s="3">
        <v>5</v>
      </c>
      <c r="B19" s="13" t="s">
        <v>30</v>
      </c>
      <c r="C19" s="4" t="s">
        <v>31</v>
      </c>
      <c r="D19" s="4" t="s">
        <v>22</v>
      </c>
      <c r="E19" s="8" t="s">
        <v>23</v>
      </c>
      <c r="F19" s="21"/>
      <c r="G19" s="21"/>
      <c r="H19" s="21"/>
      <c r="I19" s="21"/>
      <c r="J19" s="21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38.1" customHeight="1">
      <c r="A20" s="3">
        <v>6</v>
      </c>
      <c r="B20" s="13" t="s">
        <v>32</v>
      </c>
      <c r="C20" s="4" t="s">
        <v>33</v>
      </c>
      <c r="D20" s="4" t="s">
        <v>22</v>
      </c>
      <c r="E20" s="8" t="s">
        <v>23</v>
      </c>
      <c r="F20" s="21"/>
      <c r="G20" s="21"/>
      <c r="H20" s="21"/>
      <c r="I20" s="21"/>
      <c r="J20" s="21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38.1" customHeight="1">
      <c r="A21" s="3">
        <v>7</v>
      </c>
      <c r="B21" s="13" t="s">
        <v>34</v>
      </c>
      <c r="C21" s="4" t="s">
        <v>35</v>
      </c>
      <c r="D21" s="4" t="s">
        <v>36</v>
      </c>
      <c r="E21" s="8" t="s">
        <v>23</v>
      </c>
      <c r="F21" s="21"/>
      <c r="G21" s="21"/>
      <c r="H21" s="21"/>
      <c r="I21" s="21"/>
      <c r="J21" s="21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38.1" customHeight="1">
      <c r="A22" s="3">
        <v>8</v>
      </c>
      <c r="B22" s="13" t="s">
        <v>37</v>
      </c>
      <c r="C22" s="4" t="s">
        <v>38</v>
      </c>
      <c r="D22" s="4" t="s">
        <v>39</v>
      </c>
      <c r="E22" s="8" t="s">
        <v>23</v>
      </c>
      <c r="F22" s="21"/>
      <c r="G22" s="21"/>
      <c r="H22" s="21"/>
      <c r="I22" s="21"/>
      <c r="J22" s="21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38.1" customHeight="1">
      <c r="A23" s="3">
        <v>9</v>
      </c>
      <c r="B23" s="13" t="s">
        <v>40</v>
      </c>
      <c r="C23" s="4" t="s">
        <v>41</v>
      </c>
      <c r="D23" s="4" t="s">
        <v>39</v>
      </c>
      <c r="E23" s="8" t="s">
        <v>23</v>
      </c>
      <c r="F23" s="21"/>
      <c r="G23" s="21"/>
      <c r="H23" s="21"/>
      <c r="I23" s="21"/>
      <c r="J23" s="21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38.1" customHeight="1">
      <c r="A24" s="3">
        <v>10</v>
      </c>
      <c r="B24" s="13" t="s">
        <v>42</v>
      </c>
      <c r="C24" s="4" t="s">
        <v>43</v>
      </c>
      <c r="D24" s="4" t="s">
        <v>39</v>
      </c>
      <c r="E24" s="8" t="s">
        <v>23</v>
      </c>
      <c r="F24" s="21"/>
      <c r="G24" s="21"/>
      <c r="H24" s="21"/>
      <c r="I24" s="21"/>
      <c r="J24" s="21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21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1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21" customHeight="1">
      <c r="A27" s="41" t="s">
        <v>44</v>
      </c>
      <c r="B27" s="41"/>
      <c r="C27" s="41"/>
      <c r="D27" s="41"/>
      <c r="E27" s="41"/>
      <c r="F27" s="21"/>
      <c r="G27" s="21"/>
      <c r="H27" s="21"/>
      <c r="I27" s="21"/>
      <c r="J27" s="21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21" customHeight="1">
      <c r="A28" s="41"/>
      <c r="B28" s="41"/>
      <c r="C28" s="41"/>
      <c r="D28" s="41"/>
      <c r="E28" s="41"/>
      <c r="F28" s="21"/>
      <c r="G28" s="21"/>
      <c r="H28" s="21"/>
      <c r="I28" s="21"/>
      <c r="J28" s="21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1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21" customHeight="1">
      <c r="A30" s="56" t="s">
        <v>45</v>
      </c>
      <c r="B30" s="57"/>
      <c r="C30" s="57"/>
      <c r="D30" s="57"/>
      <c r="E30" s="57"/>
      <c r="F30" s="21"/>
      <c r="G30" s="21"/>
      <c r="H30" s="21"/>
      <c r="I30" s="21"/>
      <c r="J30" s="21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21" customHeight="1">
      <c r="A31" s="57"/>
      <c r="B31" s="57"/>
      <c r="C31" s="57"/>
      <c r="D31" s="57"/>
      <c r="E31" s="57"/>
      <c r="F31" s="21"/>
      <c r="G31" s="21"/>
      <c r="H31" s="21"/>
      <c r="I31" s="21"/>
      <c r="J31" s="21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21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21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21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0"/>
      <c r="L34" s="20"/>
      <c r="M34" s="20"/>
      <c r="N34" s="20"/>
      <c r="O34" s="20"/>
      <c r="P34" s="20"/>
      <c r="Q34" s="20"/>
      <c r="R34" s="20"/>
      <c r="S34" s="20"/>
    </row>
    <row r="35" spans="1:19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</sheetData>
  <mergeCells count="7">
    <mergeCell ref="A27:E28"/>
    <mergeCell ref="A30:E31"/>
    <mergeCell ref="A1:J2"/>
    <mergeCell ref="A3:J3"/>
    <mergeCell ref="A5:J6"/>
    <mergeCell ref="A7:J8"/>
    <mergeCell ref="A10:J11"/>
  </mergeCells>
  <dataValidations count="1">
    <dataValidation type="list" sqref="E15:E24" xr:uid="{00000000-0002-0000-0100-000000000000}">
      <formula1>"Not Started,In Progress,Done"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0"/>
  <sheetViews>
    <sheetView workbookViewId="0">
      <selection activeCell="D16" sqref="D16"/>
    </sheetView>
  </sheetViews>
  <sheetFormatPr defaultRowHeight="14.25"/>
  <cols>
    <col min="1" max="1" width="14" customWidth="1"/>
    <col min="2" max="2" width="22" customWidth="1"/>
    <col min="3" max="3" width="14" customWidth="1"/>
    <col min="4" max="4" width="13" customWidth="1"/>
    <col min="5" max="5" width="18" customWidth="1"/>
    <col min="6" max="6" width="24" customWidth="1"/>
    <col min="7" max="7" width="21" customWidth="1"/>
    <col min="8" max="9" width="16" customWidth="1"/>
  </cols>
  <sheetData>
    <row r="1" spans="1:19" ht="21" customHeight="1">
      <c r="A1" s="42" t="s">
        <v>46</v>
      </c>
      <c r="B1" s="42"/>
      <c r="C1" s="42"/>
      <c r="D1" s="42"/>
      <c r="E1" s="42"/>
      <c r="F1" s="42"/>
      <c r="G1" s="42"/>
      <c r="H1" s="42"/>
      <c r="I1" s="42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21" customHeight="1">
      <c r="A2" s="43"/>
      <c r="B2" s="43"/>
      <c r="C2" s="43"/>
      <c r="D2" s="43"/>
      <c r="E2" s="43"/>
      <c r="F2" s="43"/>
      <c r="G2" s="43"/>
      <c r="H2" s="43"/>
      <c r="I2" s="43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24" customHeight="1">
      <c r="A3" s="58" t="s">
        <v>47</v>
      </c>
      <c r="B3" s="59"/>
      <c r="C3" s="59"/>
      <c r="D3" s="59"/>
      <c r="E3" s="59"/>
      <c r="F3" s="59"/>
      <c r="G3" s="59"/>
      <c r="H3" s="59"/>
      <c r="I3" s="59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21" customHeight="1">
      <c r="A4" s="21"/>
      <c r="B4" s="21"/>
      <c r="C4" s="21"/>
      <c r="D4" s="21"/>
      <c r="E4" s="21"/>
      <c r="F4" s="21"/>
      <c r="G4" s="21"/>
      <c r="H4" s="21"/>
      <c r="I4" s="21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21" customHeight="1">
      <c r="A5" s="37" t="s">
        <v>48</v>
      </c>
      <c r="B5" s="37"/>
      <c r="C5" s="37"/>
      <c r="D5" s="37"/>
      <c r="E5" s="37"/>
      <c r="F5" s="37"/>
      <c r="G5" s="37"/>
      <c r="H5" s="37"/>
      <c r="I5" s="37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1" customHeight="1">
      <c r="A6" s="37"/>
      <c r="B6" s="37"/>
      <c r="C6" s="37"/>
      <c r="D6" s="37"/>
      <c r="E6" s="37"/>
      <c r="F6" s="37"/>
      <c r="G6" s="37"/>
      <c r="H6" s="37"/>
      <c r="I6" s="37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1" customHeight="1">
      <c r="A7" s="58" t="s">
        <v>49</v>
      </c>
      <c r="B7" s="59"/>
      <c r="C7" s="59"/>
      <c r="D7" s="59"/>
      <c r="E7" s="59"/>
      <c r="F7" s="59"/>
      <c r="G7" s="59"/>
      <c r="H7" s="59"/>
      <c r="I7" s="59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1" customHeight="1">
      <c r="A8" s="59"/>
      <c r="B8" s="59"/>
      <c r="C8" s="59"/>
      <c r="D8" s="59"/>
      <c r="E8" s="59"/>
      <c r="F8" s="59"/>
      <c r="G8" s="59"/>
      <c r="H8" s="59"/>
      <c r="I8" s="59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21" customHeight="1">
      <c r="A9" s="21"/>
      <c r="B9" s="21"/>
      <c r="C9" s="21"/>
      <c r="D9" s="21"/>
      <c r="E9" s="21"/>
      <c r="F9" s="21"/>
      <c r="G9" s="21"/>
      <c r="H9" s="21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21" customHeight="1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5" t="s">
        <v>58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1" customHeight="1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  <c r="I11" s="7">
        <v>40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1" customHeight="1">
      <c r="A12" s="4" t="s">
        <v>67</v>
      </c>
      <c r="B12" s="4" t="s">
        <v>68</v>
      </c>
      <c r="C12" s="4" t="s">
        <v>69</v>
      </c>
      <c r="D12" s="4" t="s">
        <v>62</v>
      </c>
      <c r="E12" s="4" t="s">
        <v>63</v>
      </c>
      <c r="F12" s="4" t="s">
        <v>70</v>
      </c>
      <c r="G12" s="4" t="s">
        <v>71</v>
      </c>
      <c r="H12" s="4" t="s">
        <v>66</v>
      </c>
      <c r="I12" s="7">
        <v>50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1" customHeight="1">
      <c r="A13" s="4" t="s">
        <v>72</v>
      </c>
      <c r="B13" s="4" t="s">
        <v>73</v>
      </c>
      <c r="C13" s="4" t="s">
        <v>69</v>
      </c>
      <c r="D13" s="4" t="s">
        <v>74</v>
      </c>
      <c r="E13" s="4" t="s">
        <v>75</v>
      </c>
      <c r="F13" s="4" t="s">
        <v>76</v>
      </c>
      <c r="G13" s="4" t="s">
        <v>65</v>
      </c>
      <c r="H13" s="4" t="s">
        <v>66</v>
      </c>
      <c r="I13" s="7">
        <v>45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ht="21" customHeight="1">
      <c r="A14" s="4" t="s">
        <v>77</v>
      </c>
      <c r="B14" s="4" t="s">
        <v>78</v>
      </c>
      <c r="C14" s="4" t="s">
        <v>69</v>
      </c>
      <c r="D14" s="4" t="s">
        <v>79</v>
      </c>
      <c r="E14" s="4" t="s">
        <v>75</v>
      </c>
      <c r="F14" s="4" t="s">
        <v>80</v>
      </c>
      <c r="G14" s="4" t="s">
        <v>71</v>
      </c>
      <c r="H14" s="4" t="s">
        <v>66</v>
      </c>
      <c r="I14" s="7">
        <v>45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ht="21" customHeight="1">
      <c r="A15" s="4" t="s">
        <v>81</v>
      </c>
      <c r="B15" s="4" t="s">
        <v>82</v>
      </c>
      <c r="C15" s="4" t="s">
        <v>61</v>
      </c>
      <c r="D15" s="4" t="s">
        <v>62</v>
      </c>
      <c r="E15" s="4" t="s">
        <v>63</v>
      </c>
      <c r="F15" s="4" t="s">
        <v>70</v>
      </c>
      <c r="G15" s="4" t="s">
        <v>83</v>
      </c>
      <c r="H15" s="4" t="s">
        <v>66</v>
      </c>
      <c r="I15" s="7">
        <v>30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ht="21" customHeight="1">
      <c r="A16" s="4" t="s">
        <v>84</v>
      </c>
      <c r="B16" s="4" t="s">
        <v>85</v>
      </c>
      <c r="C16" s="4" t="s">
        <v>69</v>
      </c>
      <c r="D16" s="4" t="s">
        <v>86</v>
      </c>
      <c r="E16" s="4" t="s">
        <v>87</v>
      </c>
      <c r="F16" s="4" t="s">
        <v>88</v>
      </c>
      <c r="G16" s="4" t="s">
        <v>71</v>
      </c>
      <c r="H16" s="4" t="s">
        <v>66</v>
      </c>
      <c r="I16" s="7">
        <v>120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1" customHeight="1">
      <c r="A17" s="4" t="s">
        <v>89</v>
      </c>
      <c r="B17" s="4" t="s">
        <v>90</v>
      </c>
      <c r="C17" s="4" t="s">
        <v>91</v>
      </c>
      <c r="D17" s="4" t="s">
        <v>86</v>
      </c>
      <c r="E17" s="4" t="s">
        <v>92</v>
      </c>
      <c r="F17" s="4" t="s">
        <v>93</v>
      </c>
      <c r="G17" s="4" t="s">
        <v>65</v>
      </c>
      <c r="H17" s="4" t="s">
        <v>66</v>
      </c>
      <c r="I17" s="7">
        <v>35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1" customHeight="1">
      <c r="A18" s="4" t="s">
        <v>94</v>
      </c>
      <c r="B18" s="4" t="s">
        <v>95</v>
      </c>
      <c r="C18" s="4" t="s">
        <v>61</v>
      </c>
      <c r="D18" s="4" t="s">
        <v>79</v>
      </c>
      <c r="E18" s="4" t="s">
        <v>92</v>
      </c>
      <c r="F18" s="4" t="s">
        <v>96</v>
      </c>
      <c r="G18" s="4" t="s">
        <v>97</v>
      </c>
      <c r="H18" s="4" t="s">
        <v>66</v>
      </c>
      <c r="I18" s="7">
        <v>45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21" customHeight="1">
      <c r="A19" s="4" t="s">
        <v>98</v>
      </c>
      <c r="B19" s="4" t="s">
        <v>99</v>
      </c>
      <c r="C19" s="4" t="s">
        <v>61</v>
      </c>
      <c r="D19" s="4" t="s">
        <v>79</v>
      </c>
      <c r="E19" s="4" t="s">
        <v>75</v>
      </c>
      <c r="F19" s="4" t="s">
        <v>100</v>
      </c>
      <c r="G19" s="4" t="s">
        <v>65</v>
      </c>
      <c r="H19" s="4" t="s">
        <v>66</v>
      </c>
      <c r="I19" s="7">
        <v>55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1" customHeight="1">
      <c r="A20" s="4" t="s">
        <v>101</v>
      </c>
      <c r="B20" s="4" t="s">
        <v>102</v>
      </c>
      <c r="C20" s="4" t="s">
        <v>61</v>
      </c>
      <c r="D20" s="4" t="s">
        <v>86</v>
      </c>
      <c r="E20" s="4" t="s">
        <v>92</v>
      </c>
      <c r="F20" s="4" t="s">
        <v>103</v>
      </c>
      <c r="G20" s="4" t="s">
        <v>104</v>
      </c>
      <c r="H20" s="4" t="s">
        <v>105</v>
      </c>
      <c r="I20" s="7">
        <v>20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1" customHeight="1">
      <c r="A21" s="4" t="s">
        <v>106</v>
      </c>
      <c r="B21" s="4" t="s">
        <v>107</v>
      </c>
      <c r="C21" s="4" t="s">
        <v>61</v>
      </c>
      <c r="D21" s="4" t="s">
        <v>86</v>
      </c>
      <c r="E21" s="4" t="s">
        <v>75</v>
      </c>
      <c r="F21" s="4" t="s">
        <v>80</v>
      </c>
      <c r="G21" s="4" t="s">
        <v>83</v>
      </c>
      <c r="H21" s="4" t="s">
        <v>66</v>
      </c>
      <c r="I21" s="7">
        <v>55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21" customHeight="1">
      <c r="A22" s="4" t="s">
        <v>108</v>
      </c>
      <c r="B22" s="4" t="s">
        <v>109</v>
      </c>
      <c r="C22" s="4" t="s">
        <v>61</v>
      </c>
      <c r="D22" s="4" t="s">
        <v>62</v>
      </c>
      <c r="E22" s="4" t="s">
        <v>92</v>
      </c>
      <c r="F22" s="4" t="s">
        <v>96</v>
      </c>
      <c r="G22" s="4" t="s">
        <v>65</v>
      </c>
      <c r="H22" s="4" t="s">
        <v>66</v>
      </c>
      <c r="I22" s="7">
        <v>35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21" customHeight="1">
      <c r="A23" s="4" t="s">
        <v>110</v>
      </c>
      <c r="B23" s="4" t="s">
        <v>111</v>
      </c>
      <c r="C23" s="4" t="s">
        <v>69</v>
      </c>
      <c r="D23" s="4" t="s">
        <v>86</v>
      </c>
      <c r="E23" s="4" t="s">
        <v>63</v>
      </c>
      <c r="F23" s="4" t="s">
        <v>70</v>
      </c>
      <c r="G23" s="4" t="s">
        <v>104</v>
      </c>
      <c r="H23" s="4" t="s">
        <v>66</v>
      </c>
      <c r="I23" s="7">
        <v>40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21" customHeight="1">
      <c r="A24" s="4" t="s">
        <v>112</v>
      </c>
      <c r="B24" s="4" t="s">
        <v>113</v>
      </c>
      <c r="C24" s="4" t="s">
        <v>61</v>
      </c>
      <c r="D24" s="4" t="s">
        <v>79</v>
      </c>
      <c r="E24" s="4" t="s">
        <v>87</v>
      </c>
      <c r="F24" s="4" t="s">
        <v>114</v>
      </c>
      <c r="G24" s="4" t="s">
        <v>65</v>
      </c>
      <c r="H24" s="4" t="s">
        <v>115</v>
      </c>
      <c r="I24" s="7">
        <v>120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21" customHeight="1">
      <c r="A25" s="4" t="s">
        <v>116</v>
      </c>
      <c r="B25" s="4" t="s">
        <v>117</v>
      </c>
      <c r="C25" s="4" t="s">
        <v>61</v>
      </c>
      <c r="D25" s="4" t="s">
        <v>62</v>
      </c>
      <c r="E25" s="4" t="s">
        <v>75</v>
      </c>
      <c r="F25" s="4" t="s">
        <v>76</v>
      </c>
      <c r="G25" s="4" t="s">
        <v>65</v>
      </c>
      <c r="H25" s="4" t="s">
        <v>66</v>
      </c>
      <c r="I25" s="7">
        <v>25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1" customHeight="1">
      <c r="A26" s="4" t="s">
        <v>118</v>
      </c>
      <c r="B26" s="4" t="s">
        <v>119</v>
      </c>
      <c r="C26" s="4" t="s">
        <v>91</v>
      </c>
      <c r="D26" s="4" t="s">
        <v>120</v>
      </c>
      <c r="E26" s="4" t="s">
        <v>87</v>
      </c>
      <c r="F26" s="4" t="s">
        <v>121</v>
      </c>
      <c r="G26" s="4" t="s">
        <v>122</v>
      </c>
      <c r="H26" s="4" t="s">
        <v>105</v>
      </c>
      <c r="I26" s="7">
        <v>350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21" customHeight="1">
      <c r="A27" s="4" t="s">
        <v>123</v>
      </c>
      <c r="B27" s="4" t="s">
        <v>124</v>
      </c>
      <c r="C27" s="4" t="s">
        <v>61</v>
      </c>
      <c r="D27" s="4" t="s">
        <v>74</v>
      </c>
      <c r="E27" s="4" t="s">
        <v>92</v>
      </c>
      <c r="F27" s="4" t="s">
        <v>103</v>
      </c>
      <c r="G27" s="4" t="s">
        <v>65</v>
      </c>
      <c r="H27" s="4" t="s">
        <v>66</v>
      </c>
      <c r="I27" s="7">
        <v>60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21" customHeight="1">
      <c r="A28" s="4" t="s">
        <v>125</v>
      </c>
      <c r="B28" s="4" t="s">
        <v>126</v>
      </c>
      <c r="C28" s="4" t="s">
        <v>61</v>
      </c>
      <c r="D28" s="4" t="s">
        <v>86</v>
      </c>
      <c r="E28" s="4" t="s">
        <v>87</v>
      </c>
      <c r="F28" s="4" t="s">
        <v>88</v>
      </c>
      <c r="G28" s="4" t="s">
        <v>122</v>
      </c>
      <c r="H28" s="4" t="s">
        <v>66</v>
      </c>
      <c r="I28" s="7">
        <v>220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1" customHeight="1">
      <c r="A29" s="4" t="s">
        <v>127</v>
      </c>
      <c r="B29" s="4" t="s">
        <v>128</v>
      </c>
      <c r="C29" s="4" t="s">
        <v>61</v>
      </c>
      <c r="D29" s="4" t="s">
        <v>120</v>
      </c>
      <c r="E29" s="4" t="s">
        <v>63</v>
      </c>
      <c r="F29" s="4" t="s">
        <v>64</v>
      </c>
      <c r="G29" s="4" t="s">
        <v>71</v>
      </c>
      <c r="H29" s="4" t="s">
        <v>66</v>
      </c>
      <c r="I29" s="7">
        <v>65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21" customHeight="1">
      <c r="A30" s="4" t="s">
        <v>129</v>
      </c>
      <c r="B30" s="4" t="s">
        <v>130</v>
      </c>
      <c r="C30" s="4" t="s">
        <v>61</v>
      </c>
      <c r="D30" s="4" t="s">
        <v>62</v>
      </c>
      <c r="E30" s="4" t="s">
        <v>63</v>
      </c>
      <c r="F30" s="4" t="s">
        <v>70</v>
      </c>
      <c r="G30" s="4" t="s">
        <v>71</v>
      </c>
      <c r="H30" s="4" t="s">
        <v>66</v>
      </c>
      <c r="I30" s="7">
        <v>65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21" customHeight="1">
      <c r="A31" s="4" t="s">
        <v>131</v>
      </c>
      <c r="B31" s="4" t="s">
        <v>132</v>
      </c>
      <c r="C31" s="4" t="s">
        <v>91</v>
      </c>
      <c r="D31" s="4" t="s">
        <v>86</v>
      </c>
      <c r="E31" s="4" t="s">
        <v>75</v>
      </c>
      <c r="F31" s="4" t="s">
        <v>80</v>
      </c>
      <c r="G31" s="4" t="s">
        <v>104</v>
      </c>
      <c r="H31" s="4" t="s">
        <v>105</v>
      </c>
      <c r="I31" s="7">
        <v>25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21" customHeight="1">
      <c r="A32" s="4" t="s">
        <v>133</v>
      </c>
      <c r="B32" s="4" t="s">
        <v>134</v>
      </c>
      <c r="C32" s="4" t="s">
        <v>69</v>
      </c>
      <c r="D32" s="4" t="s">
        <v>79</v>
      </c>
      <c r="E32" s="4" t="s">
        <v>87</v>
      </c>
      <c r="F32" s="4" t="s">
        <v>88</v>
      </c>
      <c r="G32" s="4" t="s">
        <v>97</v>
      </c>
      <c r="H32" s="4" t="s">
        <v>66</v>
      </c>
      <c r="I32" s="7">
        <v>120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21" customHeight="1">
      <c r="A33" s="4" t="s">
        <v>135</v>
      </c>
      <c r="B33" s="4" t="s">
        <v>136</v>
      </c>
      <c r="C33" s="4" t="s">
        <v>61</v>
      </c>
      <c r="D33" s="4" t="s">
        <v>62</v>
      </c>
      <c r="E33" s="4" t="s">
        <v>92</v>
      </c>
      <c r="F33" s="4" t="s">
        <v>103</v>
      </c>
      <c r="G33" s="4" t="s">
        <v>71</v>
      </c>
      <c r="H33" s="4" t="s">
        <v>66</v>
      </c>
      <c r="I33" s="7">
        <v>35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21" customHeight="1">
      <c r="A34" s="4" t="s">
        <v>137</v>
      </c>
      <c r="B34" s="4" t="s">
        <v>138</v>
      </c>
      <c r="C34" s="4" t="s">
        <v>69</v>
      </c>
      <c r="D34" s="4" t="s">
        <v>86</v>
      </c>
      <c r="E34" s="4" t="s">
        <v>92</v>
      </c>
      <c r="F34" s="4" t="s">
        <v>103</v>
      </c>
      <c r="G34" s="4" t="s">
        <v>97</v>
      </c>
      <c r="H34" s="4" t="s">
        <v>115</v>
      </c>
      <c r="I34" s="7">
        <v>35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21" customHeight="1">
      <c r="A35" s="4" t="s">
        <v>139</v>
      </c>
      <c r="B35" s="4" t="s">
        <v>140</v>
      </c>
      <c r="C35" s="4" t="s">
        <v>61</v>
      </c>
      <c r="D35" s="4" t="s">
        <v>74</v>
      </c>
      <c r="E35" s="4" t="s">
        <v>87</v>
      </c>
      <c r="F35" s="4" t="s">
        <v>114</v>
      </c>
      <c r="G35" s="4" t="s">
        <v>97</v>
      </c>
      <c r="H35" s="4" t="s">
        <v>66</v>
      </c>
      <c r="I35" s="7">
        <v>280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21" customHeight="1">
      <c r="A36" s="4" t="s">
        <v>141</v>
      </c>
      <c r="B36" s="4" t="s">
        <v>142</v>
      </c>
      <c r="C36" s="4" t="s">
        <v>61</v>
      </c>
      <c r="D36" s="4" t="s">
        <v>86</v>
      </c>
      <c r="E36" s="4" t="s">
        <v>63</v>
      </c>
      <c r="F36" s="4" t="s">
        <v>64</v>
      </c>
      <c r="G36" s="4" t="s">
        <v>65</v>
      </c>
      <c r="H36" s="4" t="s">
        <v>115</v>
      </c>
      <c r="I36" s="7">
        <v>30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21" customHeight="1">
      <c r="A37" s="4" t="s">
        <v>143</v>
      </c>
      <c r="B37" s="4" t="s">
        <v>144</v>
      </c>
      <c r="C37" s="4" t="s">
        <v>61</v>
      </c>
      <c r="D37" s="4" t="s">
        <v>86</v>
      </c>
      <c r="E37" s="4" t="s">
        <v>63</v>
      </c>
      <c r="F37" s="4" t="s">
        <v>70</v>
      </c>
      <c r="G37" s="4" t="s">
        <v>122</v>
      </c>
      <c r="H37" s="4" t="s">
        <v>105</v>
      </c>
      <c r="I37" s="7">
        <v>30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1" customHeight="1">
      <c r="A38" s="4" t="s">
        <v>145</v>
      </c>
      <c r="B38" s="4" t="s">
        <v>146</v>
      </c>
      <c r="C38" s="4" t="s">
        <v>61</v>
      </c>
      <c r="D38" s="4" t="s">
        <v>74</v>
      </c>
      <c r="E38" s="4" t="s">
        <v>63</v>
      </c>
      <c r="F38" s="4" t="s">
        <v>70</v>
      </c>
      <c r="G38" s="4" t="s">
        <v>71</v>
      </c>
      <c r="H38" s="4" t="s">
        <v>66</v>
      </c>
      <c r="I38" s="7">
        <v>30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21" customHeight="1">
      <c r="A39" s="4" t="s">
        <v>147</v>
      </c>
      <c r="B39" s="4" t="s">
        <v>148</v>
      </c>
      <c r="C39" s="4" t="s">
        <v>61</v>
      </c>
      <c r="D39" s="4" t="s">
        <v>120</v>
      </c>
      <c r="E39" s="4" t="s">
        <v>75</v>
      </c>
      <c r="F39" s="4" t="s">
        <v>80</v>
      </c>
      <c r="G39" s="4" t="s">
        <v>97</v>
      </c>
      <c r="H39" s="4" t="s">
        <v>115</v>
      </c>
      <c r="I39" s="7">
        <v>25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21" customHeight="1">
      <c r="A40" s="4" t="s">
        <v>149</v>
      </c>
      <c r="B40" s="4" t="s">
        <v>150</v>
      </c>
      <c r="C40" s="4" t="s">
        <v>61</v>
      </c>
      <c r="D40" s="4" t="s">
        <v>62</v>
      </c>
      <c r="E40" s="4" t="s">
        <v>63</v>
      </c>
      <c r="F40" s="4" t="s">
        <v>70</v>
      </c>
      <c r="G40" s="4" t="s">
        <v>97</v>
      </c>
      <c r="H40" s="4" t="s">
        <v>66</v>
      </c>
      <c r="I40" s="7">
        <v>30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21" customHeight="1">
      <c r="A41" s="4" t="s">
        <v>151</v>
      </c>
      <c r="B41" s="4" t="s">
        <v>152</v>
      </c>
      <c r="C41" s="4" t="s">
        <v>61</v>
      </c>
      <c r="D41" s="4" t="s">
        <v>62</v>
      </c>
      <c r="E41" s="4" t="s">
        <v>92</v>
      </c>
      <c r="F41" s="4" t="s">
        <v>96</v>
      </c>
      <c r="G41" s="4" t="s">
        <v>83</v>
      </c>
      <c r="H41" s="4" t="s">
        <v>105</v>
      </c>
      <c r="I41" s="7">
        <v>25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21" customHeight="1">
      <c r="A42" s="4" t="s">
        <v>153</v>
      </c>
      <c r="B42" s="4" t="s">
        <v>154</v>
      </c>
      <c r="C42" s="4" t="s">
        <v>61</v>
      </c>
      <c r="D42" s="4" t="s">
        <v>62</v>
      </c>
      <c r="E42" s="4" t="s">
        <v>92</v>
      </c>
      <c r="F42" s="4" t="s">
        <v>103</v>
      </c>
      <c r="G42" s="4" t="s">
        <v>65</v>
      </c>
      <c r="H42" s="4" t="s">
        <v>66</v>
      </c>
      <c r="I42" s="7">
        <v>60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1" customHeight="1">
      <c r="A43" s="4" t="s">
        <v>155</v>
      </c>
      <c r="B43" s="4" t="s">
        <v>156</v>
      </c>
      <c r="C43" s="4" t="s">
        <v>91</v>
      </c>
      <c r="D43" s="4" t="s">
        <v>120</v>
      </c>
      <c r="E43" s="4" t="s">
        <v>63</v>
      </c>
      <c r="F43" s="4" t="s">
        <v>70</v>
      </c>
      <c r="G43" s="4" t="s">
        <v>71</v>
      </c>
      <c r="H43" s="4" t="s">
        <v>66</v>
      </c>
      <c r="I43" s="7">
        <v>65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21" customHeight="1">
      <c r="A44" s="4" t="s">
        <v>157</v>
      </c>
      <c r="B44" s="4" t="s">
        <v>158</v>
      </c>
      <c r="C44" s="4" t="s">
        <v>61</v>
      </c>
      <c r="D44" s="4" t="s">
        <v>74</v>
      </c>
      <c r="E44" s="4" t="s">
        <v>75</v>
      </c>
      <c r="F44" s="4" t="s">
        <v>76</v>
      </c>
      <c r="G44" s="4" t="s">
        <v>122</v>
      </c>
      <c r="H44" s="4" t="s">
        <v>66</v>
      </c>
      <c r="I44" s="7">
        <v>25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21" customHeight="1">
      <c r="A45" s="4" t="s">
        <v>159</v>
      </c>
      <c r="B45" s="4" t="s">
        <v>160</v>
      </c>
      <c r="C45" s="4" t="s">
        <v>69</v>
      </c>
      <c r="D45" s="4" t="s">
        <v>120</v>
      </c>
      <c r="E45" s="4" t="s">
        <v>63</v>
      </c>
      <c r="F45" s="4" t="s">
        <v>70</v>
      </c>
      <c r="G45" s="4" t="s">
        <v>104</v>
      </c>
      <c r="H45" s="4" t="s">
        <v>66</v>
      </c>
      <c r="I45" s="7">
        <v>50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21" customHeight="1">
      <c r="A46" s="4" t="s">
        <v>161</v>
      </c>
      <c r="B46" s="4" t="s">
        <v>162</v>
      </c>
      <c r="C46" s="4" t="s">
        <v>91</v>
      </c>
      <c r="D46" s="4" t="s">
        <v>74</v>
      </c>
      <c r="E46" s="4" t="s">
        <v>92</v>
      </c>
      <c r="F46" s="4" t="s">
        <v>96</v>
      </c>
      <c r="G46" s="4" t="s">
        <v>83</v>
      </c>
      <c r="H46" s="4" t="s">
        <v>66</v>
      </c>
      <c r="I46" s="7">
        <v>35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21" customHeight="1">
      <c r="A47" s="4" t="s">
        <v>163</v>
      </c>
      <c r="B47" s="4" t="s">
        <v>164</v>
      </c>
      <c r="C47" s="4" t="s">
        <v>91</v>
      </c>
      <c r="D47" s="4" t="s">
        <v>120</v>
      </c>
      <c r="E47" s="4" t="s">
        <v>87</v>
      </c>
      <c r="F47" s="4" t="s">
        <v>88</v>
      </c>
      <c r="G47" s="4" t="s">
        <v>104</v>
      </c>
      <c r="H47" s="4" t="s">
        <v>66</v>
      </c>
      <c r="I47" s="7">
        <v>280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21" customHeight="1">
      <c r="A48" s="4" t="s">
        <v>165</v>
      </c>
      <c r="B48" s="4" t="s">
        <v>166</v>
      </c>
      <c r="C48" s="4" t="s">
        <v>61</v>
      </c>
      <c r="D48" s="4" t="s">
        <v>86</v>
      </c>
      <c r="E48" s="4" t="s">
        <v>92</v>
      </c>
      <c r="F48" s="4" t="s">
        <v>96</v>
      </c>
      <c r="G48" s="4" t="s">
        <v>104</v>
      </c>
      <c r="H48" s="4" t="s">
        <v>66</v>
      </c>
      <c r="I48" s="7">
        <v>35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21" customHeight="1">
      <c r="A49" s="4" t="s">
        <v>167</v>
      </c>
      <c r="B49" s="4" t="s">
        <v>168</v>
      </c>
      <c r="C49" s="4" t="s">
        <v>61</v>
      </c>
      <c r="D49" s="4" t="s">
        <v>62</v>
      </c>
      <c r="E49" s="4" t="s">
        <v>87</v>
      </c>
      <c r="F49" s="4" t="s">
        <v>88</v>
      </c>
      <c r="G49" s="4" t="s">
        <v>83</v>
      </c>
      <c r="H49" s="4" t="s">
        <v>66</v>
      </c>
      <c r="I49" s="7">
        <v>280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21" customHeight="1">
      <c r="A50" s="4" t="s">
        <v>169</v>
      </c>
      <c r="B50" s="4" t="s">
        <v>170</v>
      </c>
      <c r="C50" s="4" t="s">
        <v>61</v>
      </c>
      <c r="D50" s="4" t="s">
        <v>62</v>
      </c>
      <c r="E50" s="4" t="s">
        <v>87</v>
      </c>
      <c r="F50" s="4" t="s">
        <v>88</v>
      </c>
      <c r="G50" s="4" t="s">
        <v>122</v>
      </c>
      <c r="H50" s="4" t="s">
        <v>66</v>
      </c>
      <c r="I50" s="7">
        <v>220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21" customHeight="1">
      <c r="A51" s="21"/>
      <c r="B51" s="21"/>
      <c r="C51" s="21"/>
      <c r="D51" s="21"/>
      <c r="E51" s="21"/>
      <c r="F51" s="21"/>
      <c r="G51" s="21"/>
      <c r="H51" s="21"/>
      <c r="I51" s="21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21" customHeight="1">
      <c r="A52" s="21"/>
      <c r="B52" s="21"/>
      <c r="C52" s="21"/>
      <c r="D52" s="21"/>
      <c r="E52" s="21"/>
      <c r="F52" s="21"/>
      <c r="G52" s="21"/>
      <c r="H52" s="21"/>
      <c r="I52" s="21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21" customHeight="1">
      <c r="A53" s="21"/>
      <c r="B53" s="21"/>
      <c r="C53" s="21"/>
      <c r="D53" s="21"/>
      <c r="E53" s="21"/>
      <c r="F53" s="21"/>
      <c r="G53" s="21"/>
      <c r="H53" s="21"/>
      <c r="I53" s="21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21" customHeight="1">
      <c r="A54" s="21"/>
      <c r="B54" s="21"/>
      <c r="C54" s="21"/>
      <c r="D54" s="21"/>
      <c r="E54" s="21"/>
      <c r="F54" s="21"/>
      <c r="G54" s="21"/>
      <c r="H54" s="21"/>
      <c r="I54" s="21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21" customHeight="1">
      <c r="A55" s="21"/>
      <c r="B55" s="21"/>
      <c r="C55" s="21"/>
      <c r="D55" s="21"/>
      <c r="E55" s="21"/>
      <c r="F55" s="21"/>
      <c r="G55" s="21"/>
      <c r="H55" s="21"/>
      <c r="I55" s="21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21" customHeight="1">
      <c r="A56" s="21"/>
      <c r="B56" s="21"/>
      <c r="C56" s="21"/>
      <c r="D56" s="21"/>
      <c r="E56" s="21"/>
      <c r="F56" s="21"/>
      <c r="G56" s="21"/>
      <c r="H56" s="21"/>
      <c r="I56" s="21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21" customHeight="1">
      <c r="A57" s="21"/>
      <c r="B57" s="21"/>
      <c r="C57" s="21"/>
      <c r="D57" s="21"/>
      <c r="E57" s="21"/>
      <c r="F57" s="21"/>
      <c r="G57" s="21"/>
      <c r="H57" s="21"/>
      <c r="I57" s="21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21" customHeight="1">
      <c r="A58" s="21"/>
      <c r="B58" s="21"/>
      <c r="C58" s="21"/>
      <c r="D58" s="21"/>
      <c r="E58" s="21"/>
      <c r="F58" s="21"/>
      <c r="G58" s="21"/>
      <c r="H58" s="21"/>
      <c r="I58" s="21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</sheetData>
  <mergeCells count="4">
    <mergeCell ref="A1:I2"/>
    <mergeCell ref="A3:I3"/>
    <mergeCell ref="A5:I6"/>
    <mergeCell ref="A7:I8"/>
  </mergeCells>
  <dataValidations count="9">
    <dataValidation allowBlank="1" showInputMessage="1" promptTitle="Customer ID" prompt="Unique customer identifier._x000a_رقم مميز للعميل." sqref="A10" xr:uid="{00000000-0002-0000-0200-000000000000}"/>
    <dataValidation allowBlank="1" showInputMessage="1" promptTitle="Customer Name" prompt="Customer display name._x000a_اسم العميل." sqref="B10" xr:uid="{00000000-0002-0000-0200-000001000000}"/>
    <dataValidation allowBlank="1" showInputMessage="1" promptTitle="Segment" prompt="Consumer / SME / Corporate._x000a_فئة العميل." sqref="C10" xr:uid="{00000000-0002-0000-0200-000002000000}"/>
    <dataValidation allowBlank="1" showInputMessage="1" promptTitle="Region" prompt="Customer home region._x000a_منطقة العميل." sqref="D10" xr:uid="{00000000-0002-0000-0200-000003000000}"/>
    <dataValidation allowBlank="1" showInputMessage="1" promptTitle="Service" prompt="Primary service family._x000a_الخدمة الرئيسية." sqref="E10" xr:uid="{00000000-0002-0000-0200-000004000000}"/>
    <dataValidation allowBlank="1" showInputMessage="1" promptTitle="Plan" prompt="Commercial plan._x000a_الباقة." sqref="F10" xr:uid="{00000000-0002-0000-0200-000005000000}"/>
    <dataValidation allowBlank="1" showInputMessage="1" promptTitle="Account Manager" prompt="Assigned owner._x000a_مسؤول الحساب." sqref="G10" xr:uid="{00000000-0002-0000-0200-000006000000}"/>
    <dataValidation allowBlank="1" showInputMessage="1" promptTitle="Account Status" prompt="Active / Suspended / Pending._x000a_حالة الحساب." sqref="H10" xr:uid="{00000000-0002-0000-0200-000007000000}"/>
    <dataValidation allowBlank="1" showInputMessage="1" promptTitle="Monthly Fee" prompt="Recurring monthly fee in JOD._x000a_الرسوم الشهرية بالدينار." sqref="I10" xr:uid="{00000000-0002-0000-0200-000008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0"/>
  <sheetViews>
    <sheetView topLeftCell="A2" zoomScale="85" zoomScaleNormal="85" workbookViewId="0">
      <selection activeCell="B13" sqref="B13"/>
    </sheetView>
  </sheetViews>
  <sheetFormatPr defaultRowHeight="14.25"/>
  <cols>
    <col min="1" max="1" width="14" customWidth="1"/>
    <col min="2" max="2" width="33" customWidth="1"/>
    <col min="3" max="3" width="18" customWidth="1"/>
    <col min="4" max="5" width="11" customWidth="1"/>
    <col min="6" max="6" width="10" customWidth="1"/>
    <col min="7" max="7" width="11" customWidth="1"/>
    <col min="8" max="8" width="14" customWidth="1"/>
    <col min="9" max="9" width="17" customWidth="1"/>
    <col min="10" max="10" width="21" customWidth="1"/>
    <col min="11" max="11" width="17" customWidth="1"/>
    <col min="12" max="12" width="14" customWidth="1"/>
    <col min="13" max="13" width="13" customWidth="1"/>
    <col min="14" max="14" width="14" customWidth="1"/>
    <col min="15" max="16" width="17" customWidth="1"/>
    <col min="17" max="17" width="14" customWidth="1"/>
    <col min="18" max="18" width="13" customWidth="1"/>
    <col min="19" max="19" width="17" customWidth="1"/>
  </cols>
  <sheetData>
    <row r="1" spans="1:19" ht="21" customHeight="1">
      <c r="A1" s="46" t="s">
        <v>247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33.75" customHeight="1">
      <c r="A3" s="60" t="s">
        <v>248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ht="21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0"/>
    </row>
    <row r="5" spans="1:19" ht="21" customHeight="1">
      <c r="A5" s="64" t="s">
        <v>249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</row>
    <row r="6" spans="1:19" ht="21" customHeight="1">
      <c r="A6" s="64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</row>
    <row r="7" spans="1:19" ht="21" customHeight="1">
      <c r="A7" s="60" t="s">
        <v>250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3"/>
    </row>
    <row r="8" spans="1:19" ht="21" customHeigh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3"/>
    </row>
    <row r="9" spans="1:19" ht="21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0"/>
    </row>
    <row r="10" spans="1:19" ht="30" customHeight="1">
      <c r="A10" s="22" t="s">
        <v>171</v>
      </c>
      <c r="B10" s="23" t="s">
        <v>172</v>
      </c>
      <c r="C10" s="23" t="s">
        <v>173</v>
      </c>
      <c r="D10" s="23" t="s">
        <v>178</v>
      </c>
      <c r="E10" s="23" t="s">
        <v>179</v>
      </c>
      <c r="F10" s="23" t="s">
        <v>180</v>
      </c>
      <c r="G10" s="23" t="s">
        <v>181</v>
      </c>
      <c r="H10" s="23" t="s">
        <v>182</v>
      </c>
      <c r="I10" s="23" t="s">
        <v>53</v>
      </c>
      <c r="J10" s="23" t="s">
        <v>54</v>
      </c>
      <c r="K10" s="23" t="s">
        <v>50</v>
      </c>
      <c r="L10" s="23" t="s">
        <v>251</v>
      </c>
      <c r="M10" s="23" t="s">
        <v>252</v>
      </c>
      <c r="N10" s="66" t="s">
        <v>55</v>
      </c>
      <c r="O10" s="66" t="s">
        <v>56</v>
      </c>
      <c r="P10" s="66" t="s">
        <v>57</v>
      </c>
      <c r="Q10" s="66" t="s">
        <v>58</v>
      </c>
      <c r="R10" s="66" t="s">
        <v>253</v>
      </c>
      <c r="S10" s="67" t="s">
        <v>254</v>
      </c>
    </row>
    <row r="11" spans="1:19" ht="21.95" customHeight="1">
      <c r="A11" s="4" t="s">
        <v>183</v>
      </c>
      <c r="B11" s="4" t="s">
        <v>184</v>
      </c>
      <c r="C11" s="4" t="s">
        <v>185</v>
      </c>
      <c r="D11" s="7">
        <v>1293.67</v>
      </c>
      <c r="E11" s="7">
        <v>1500</v>
      </c>
      <c r="F11" s="4">
        <v>0</v>
      </c>
      <c r="G11" s="4">
        <v>12</v>
      </c>
      <c r="H11" s="4">
        <v>17</v>
      </c>
      <c r="I11" s="8"/>
      <c r="J11" s="8"/>
      <c r="K11" s="8"/>
      <c r="L11" s="8"/>
      <c r="M11" s="8"/>
      <c r="N11" s="8"/>
      <c r="O11" s="8"/>
      <c r="P11" s="8"/>
      <c r="Q11" s="15"/>
      <c r="R11" s="9"/>
      <c r="S11" s="24"/>
    </row>
    <row r="12" spans="1:19" ht="21.95" customHeight="1">
      <c r="A12" s="4" t="s">
        <v>187</v>
      </c>
      <c r="B12" s="4" t="s">
        <v>188</v>
      </c>
      <c r="C12" s="4" t="s">
        <v>189</v>
      </c>
      <c r="D12" s="7">
        <v>1242.3599999999999</v>
      </c>
      <c r="E12" s="7">
        <v>1500</v>
      </c>
      <c r="F12" s="4">
        <v>7</v>
      </c>
      <c r="G12" s="4">
        <v>12</v>
      </c>
      <c r="H12" s="4">
        <v>1</v>
      </c>
      <c r="I12" s="8"/>
      <c r="J12" s="8"/>
      <c r="K12" s="8"/>
      <c r="L12" s="8"/>
      <c r="M12" s="8"/>
      <c r="N12" s="8"/>
      <c r="O12" s="8"/>
      <c r="P12" s="8"/>
      <c r="Q12" s="15"/>
      <c r="R12" s="9"/>
      <c r="S12" s="24"/>
    </row>
    <row r="13" spans="1:19" ht="21.95" customHeight="1">
      <c r="A13" s="4" t="s">
        <v>190</v>
      </c>
      <c r="B13" s="4" t="s">
        <v>191</v>
      </c>
      <c r="C13" s="4" t="s">
        <v>192</v>
      </c>
      <c r="D13" s="7">
        <v>689.93</v>
      </c>
      <c r="E13" s="7">
        <v>600</v>
      </c>
      <c r="F13" s="4">
        <v>3</v>
      </c>
      <c r="G13" s="4">
        <v>12</v>
      </c>
      <c r="H13" s="4">
        <v>14</v>
      </c>
      <c r="I13" s="8"/>
      <c r="J13" s="8"/>
      <c r="K13" s="8"/>
      <c r="L13" s="8"/>
      <c r="M13" s="8"/>
      <c r="N13" s="8"/>
      <c r="O13" s="8"/>
      <c r="P13" s="8"/>
      <c r="Q13" s="15"/>
      <c r="R13" s="9"/>
      <c r="S13" s="24"/>
    </row>
    <row r="14" spans="1:19" ht="21.95" customHeight="1">
      <c r="A14" s="4" t="s">
        <v>194</v>
      </c>
      <c r="B14" s="4" t="s">
        <v>195</v>
      </c>
      <c r="C14" s="4" t="s">
        <v>196</v>
      </c>
      <c r="D14" s="7">
        <v>1789.92</v>
      </c>
      <c r="E14" s="7">
        <v>1500</v>
      </c>
      <c r="F14" s="4">
        <v>0</v>
      </c>
      <c r="G14" s="4">
        <v>8</v>
      </c>
      <c r="H14" s="4">
        <v>2</v>
      </c>
      <c r="I14" s="8"/>
      <c r="J14" s="8"/>
      <c r="K14" s="8"/>
      <c r="L14" s="8"/>
      <c r="M14" s="8"/>
      <c r="N14" s="8"/>
      <c r="O14" s="8"/>
      <c r="P14" s="8"/>
      <c r="Q14" s="15"/>
      <c r="R14" s="9"/>
      <c r="S14" s="24"/>
    </row>
    <row r="15" spans="1:19" ht="21.95" customHeight="1">
      <c r="A15" s="4" t="s">
        <v>197</v>
      </c>
      <c r="B15" s="4" t="s">
        <v>198</v>
      </c>
      <c r="C15" s="4">
        <v>64222</v>
      </c>
      <c r="D15" s="7">
        <v>709.12</v>
      </c>
      <c r="E15" s="7">
        <v>600</v>
      </c>
      <c r="F15" s="4">
        <v>12</v>
      </c>
      <c r="G15" s="4">
        <v>4</v>
      </c>
      <c r="H15" s="4">
        <v>18</v>
      </c>
      <c r="I15" s="8"/>
      <c r="J15" s="8"/>
      <c r="K15" s="8"/>
      <c r="L15" s="8"/>
      <c r="M15" s="8"/>
      <c r="N15" s="8"/>
      <c r="O15" s="8"/>
      <c r="P15" s="8"/>
      <c r="Q15" s="15"/>
      <c r="R15" s="9"/>
      <c r="S15" s="24"/>
    </row>
    <row r="16" spans="1:19" ht="21.95" customHeight="1">
      <c r="A16" s="4" t="s">
        <v>199</v>
      </c>
      <c r="B16" s="4" t="s">
        <v>200</v>
      </c>
      <c r="C16" s="4" t="s">
        <v>201</v>
      </c>
      <c r="D16" s="7">
        <v>757.89</v>
      </c>
      <c r="E16" s="7">
        <v>600</v>
      </c>
      <c r="F16" s="4">
        <v>1</v>
      </c>
      <c r="G16" s="4">
        <v>12</v>
      </c>
      <c r="H16" s="4">
        <v>36</v>
      </c>
      <c r="I16" s="8"/>
      <c r="J16" s="8"/>
      <c r="K16" s="8"/>
      <c r="L16" s="8"/>
      <c r="M16" s="8"/>
      <c r="N16" s="8"/>
      <c r="O16" s="8"/>
      <c r="P16" s="8"/>
      <c r="Q16" s="15"/>
      <c r="R16" s="9"/>
      <c r="S16" s="24"/>
    </row>
    <row r="17" spans="1:19" ht="21.95" customHeight="1">
      <c r="A17" s="4" t="s">
        <v>202</v>
      </c>
      <c r="B17" s="4" t="s">
        <v>195</v>
      </c>
      <c r="C17" s="4" t="s">
        <v>203</v>
      </c>
      <c r="D17" s="7">
        <v>830.56</v>
      </c>
      <c r="E17" s="7">
        <v>1000</v>
      </c>
      <c r="F17" s="4">
        <v>8</v>
      </c>
      <c r="G17" s="4">
        <v>4</v>
      </c>
      <c r="H17" s="4">
        <v>21</v>
      </c>
      <c r="I17" s="8"/>
      <c r="J17" s="8"/>
      <c r="K17" s="8"/>
      <c r="L17" s="8"/>
      <c r="M17" s="8"/>
      <c r="N17" s="8"/>
      <c r="O17" s="8"/>
      <c r="P17" s="8"/>
      <c r="Q17" s="15"/>
      <c r="R17" s="9"/>
      <c r="S17" s="24"/>
    </row>
    <row r="18" spans="1:19" ht="21.95" customHeight="1">
      <c r="A18" s="4" t="s">
        <v>204</v>
      </c>
      <c r="B18" s="4" t="s">
        <v>205</v>
      </c>
      <c r="C18" s="4">
        <v>34870</v>
      </c>
      <c r="D18" s="7">
        <v>387.82</v>
      </c>
      <c r="E18" s="7">
        <v>450</v>
      </c>
      <c r="F18" s="4">
        <v>10</v>
      </c>
      <c r="G18" s="4">
        <v>12</v>
      </c>
      <c r="H18" s="4">
        <v>15</v>
      </c>
      <c r="I18" s="8"/>
      <c r="J18" s="8"/>
      <c r="K18" s="8"/>
      <c r="L18" s="8"/>
      <c r="M18" s="8"/>
      <c r="N18" s="8"/>
      <c r="O18" s="8"/>
      <c r="P18" s="8"/>
      <c r="Q18" s="15"/>
      <c r="R18" s="9"/>
      <c r="S18" s="24"/>
    </row>
    <row r="19" spans="1:19" ht="21.95" customHeight="1">
      <c r="A19" s="4" t="s">
        <v>207</v>
      </c>
      <c r="B19" s="4" t="s">
        <v>208</v>
      </c>
      <c r="C19" s="4" t="s">
        <v>209</v>
      </c>
      <c r="D19" s="7">
        <v>272.51</v>
      </c>
      <c r="E19" s="7">
        <v>300</v>
      </c>
      <c r="F19" s="4">
        <v>12</v>
      </c>
      <c r="G19" s="4">
        <v>48</v>
      </c>
      <c r="H19" s="4">
        <v>40</v>
      </c>
      <c r="I19" s="8"/>
      <c r="J19" s="8"/>
      <c r="K19" s="8"/>
      <c r="L19" s="8"/>
      <c r="M19" s="8"/>
      <c r="N19" s="8"/>
      <c r="O19" s="8"/>
      <c r="P19" s="8"/>
      <c r="Q19" s="15"/>
      <c r="R19" s="9"/>
      <c r="S19" s="24"/>
    </row>
    <row r="20" spans="1:19" ht="21.95" customHeight="1">
      <c r="A20" s="4" t="s">
        <v>210</v>
      </c>
      <c r="B20" s="4" t="s">
        <v>211</v>
      </c>
      <c r="C20" s="4" t="s">
        <v>212</v>
      </c>
      <c r="D20" s="7">
        <v>1250.8800000000001</v>
      </c>
      <c r="E20" s="7">
        <v>1500</v>
      </c>
      <c r="F20" s="4">
        <v>3</v>
      </c>
      <c r="G20" s="4">
        <v>12</v>
      </c>
      <c r="H20" s="4">
        <v>29</v>
      </c>
      <c r="I20" s="8"/>
      <c r="J20" s="8"/>
      <c r="K20" s="8"/>
      <c r="L20" s="8"/>
      <c r="M20" s="8"/>
      <c r="N20" s="8"/>
      <c r="O20" s="8"/>
      <c r="P20" s="8"/>
      <c r="Q20" s="15"/>
      <c r="R20" s="9"/>
      <c r="S20" s="24"/>
    </row>
    <row r="21" spans="1:19" ht="21.95" customHeight="1">
      <c r="A21" s="4" t="s">
        <v>213</v>
      </c>
      <c r="B21" s="4" t="s">
        <v>214</v>
      </c>
      <c r="C21" s="4" t="s">
        <v>215</v>
      </c>
      <c r="D21" s="7">
        <v>999.47</v>
      </c>
      <c r="E21" s="7">
        <v>1200</v>
      </c>
      <c r="F21" s="4">
        <v>1</v>
      </c>
      <c r="G21" s="4">
        <v>12</v>
      </c>
      <c r="H21" s="4">
        <v>11</v>
      </c>
      <c r="I21" s="8"/>
      <c r="J21" s="8"/>
      <c r="K21" s="8"/>
      <c r="L21" s="8"/>
      <c r="M21" s="8"/>
      <c r="N21" s="8"/>
      <c r="O21" s="8"/>
      <c r="P21" s="8"/>
      <c r="Q21" s="15"/>
      <c r="R21" s="9"/>
      <c r="S21" s="24"/>
    </row>
    <row r="22" spans="1:19" ht="21.95" customHeight="1">
      <c r="A22" s="4" t="s">
        <v>216</v>
      </c>
      <c r="B22" s="4" t="s">
        <v>217</v>
      </c>
      <c r="C22" s="4" t="s">
        <v>218</v>
      </c>
      <c r="D22" s="7">
        <v>874.14</v>
      </c>
      <c r="E22" s="7">
        <v>800</v>
      </c>
      <c r="F22" s="4">
        <v>8</v>
      </c>
      <c r="G22" s="4">
        <v>48</v>
      </c>
      <c r="H22" s="4">
        <v>12</v>
      </c>
      <c r="I22" s="8"/>
      <c r="J22" s="8"/>
      <c r="K22" s="8"/>
      <c r="L22" s="8"/>
      <c r="M22" s="8"/>
      <c r="N22" s="8"/>
      <c r="O22" s="8"/>
      <c r="P22" s="8"/>
      <c r="Q22" s="15"/>
      <c r="R22" s="9"/>
      <c r="S22" s="24"/>
    </row>
    <row r="23" spans="1:19" ht="21.95" customHeight="1">
      <c r="A23" s="4" t="s">
        <v>219</v>
      </c>
      <c r="B23" s="4" t="s">
        <v>220</v>
      </c>
      <c r="C23" s="4" t="s">
        <v>221</v>
      </c>
      <c r="D23" s="7">
        <v>1220.46</v>
      </c>
      <c r="E23" s="7">
        <v>1000</v>
      </c>
      <c r="F23" s="4">
        <v>6</v>
      </c>
      <c r="G23" s="4">
        <v>12</v>
      </c>
      <c r="H23" s="4">
        <v>13</v>
      </c>
      <c r="I23" s="8"/>
      <c r="J23" s="8"/>
      <c r="K23" s="8"/>
      <c r="L23" s="8"/>
      <c r="M23" s="8"/>
      <c r="N23" s="8"/>
      <c r="O23" s="8"/>
      <c r="P23" s="8"/>
      <c r="Q23" s="15"/>
      <c r="R23" s="9"/>
      <c r="S23" s="24"/>
    </row>
    <row r="24" spans="1:19" ht="21.95" customHeight="1">
      <c r="A24" s="4" t="s">
        <v>222</v>
      </c>
      <c r="B24" s="4" t="s">
        <v>223</v>
      </c>
      <c r="C24" s="4" t="s">
        <v>224</v>
      </c>
      <c r="D24" s="7">
        <v>515.72</v>
      </c>
      <c r="E24" s="7">
        <v>450</v>
      </c>
      <c r="F24" s="4">
        <v>10</v>
      </c>
      <c r="G24" s="4">
        <v>4</v>
      </c>
      <c r="H24" s="4">
        <v>27</v>
      </c>
      <c r="I24" s="8"/>
      <c r="J24" s="8"/>
      <c r="K24" s="8"/>
      <c r="L24" s="8"/>
      <c r="M24" s="8"/>
      <c r="N24" s="8"/>
      <c r="O24" s="8"/>
      <c r="P24" s="8"/>
      <c r="Q24" s="15"/>
      <c r="R24" s="9"/>
      <c r="S24" s="24"/>
    </row>
    <row r="25" spans="1:19" ht="21.95" customHeight="1">
      <c r="A25" s="4" t="s">
        <v>225</v>
      </c>
      <c r="B25" s="4" t="s">
        <v>226</v>
      </c>
      <c r="C25" s="4" t="s">
        <v>227</v>
      </c>
      <c r="D25" s="7">
        <v>542.59</v>
      </c>
      <c r="E25" s="7">
        <v>600</v>
      </c>
      <c r="F25" s="4">
        <v>4</v>
      </c>
      <c r="G25" s="4">
        <v>8</v>
      </c>
      <c r="H25" s="4">
        <v>3</v>
      </c>
      <c r="I25" s="8"/>
      <c r="J25" s="8"/>
      <c r="K25" s="8"/>
      <c r="L25" s="8"/>
      <c r="M25" s="8"/>
      <c r="N25" s="8"/>
      <c r="O25" s="8"/>
      <c r="P25" s="8"/>
      <c r="Q25" s="15"/>
      <c r="R25" s="9"/>
      <c r="S25" s="24"/>
    </row>
    <row r="26" spans="1:19" ht="21.95" customHeight="1">
      <c r="A26" s="4" t="s">
        <v>228</v>
      </c>
      <c r="B26" s="4" t="s">
        <v>229</v>
      </c>
      <c r="C26" s="4">
        <v>17748</v>
      </c>
      <c r="D26" s="7">
        <v>597.95000000000005</v>
      </c>
      <c r="E26" s="7">
        <v>600</v>
      </c>
      <c r="F26" s="4">
        <v>10</v>
      </c>
      <c r="G26" s="4">
        <v>12</v>
      </c>
      <c r="H26" s="4">
        <v>10</v>
      </c>
      <c r="I26" s="8"/>
      <c r="J26" s="8"/>
      <c r="K26" s="8"/>
      <c r="L26" s="8"/>
      <c r="M26" s="8"/>
      <c r="N26" s="8"/>
      <c r="O26" s="8"/>
      <c r="P26" s="8"/>
      <c r="Q26" s="15"/>
      <c r="R26" s="9"/>
      <c r="S26" s="24"/>
    </row>
    <row r="27" spans="1:19" ht="21.95" customHeight="1">
      <c r="A27" s="4" t="s">
        <v>230</v>
      </c>
      <c r="B27" s="4" t="s">
        <v>231</v>
      </c>
      <c r="C27" s="4" t="s">
        <v>232</v>
      </c>
      <c r="D27" s="7">
        <v>733.39</v>
      </c>
      <c r="E27" s="7">
        <v>600</v>
      </c>
      <c r="F27" s="4">
        <v>11</v>
      </c>
      <c r="G27" s="4">
        <v>8</v>
      </c>
      <c r="H27" s="4">
        <v>5</v>
      </c>
      <c r="I27" s="8"/>
      <c r="J27" s="8"/>
      <c r="K27" s="8"/>
      <c r="L27" s="8"/>
      <c r="M27" s="8"/>
      <c r="N27" s="8"/>
      <c r="O27" s="8"/>
      <c r="P27" s="8"/>
      <c r="Q27" s="15"/>
      <c r="R27" s="9"/>
      <c r="S27" s="24"/>
    </row>
    <row r="28" spans="1:19" ht="21.95" customHeight="1">
      <c r="A28" s="4" t="s">
        <v>233</v>
      </c>
      <c r="B28" s="4" t="s">
        <v>234</v>
      </c>
      <c r="C28" s="4" t="s">
        <v>235</v>
      </c>
      <c r="D28" s="7">
        <v>1789.93</v>
      </c>
      <c r="E28" s="7">
        <v>1500</v>
      </c>
      <c r="F28" s="4">
        <v>2</v>
      </c>
      <c r="G28" s="4">
        <v>12</v>
      </c>
      <c r="H28" s="4">
        <v>10</v>
      </c>
      <c r="I28" s="8"/>
      <c r="J28" s="8"/>
      <c r="K28" s="8"/>
      <c r="L28" s="8"/>
      <c r="M28" s="8"/>
      <c r="N28" s="8"/>
      <c r="O28" s="8"/>
      <c r="P28" s="8"/>
      <c r="Q28" s="15"/>
      <c r="R28" s="9"/>
      <c r="S28" s="24"/>
    </row>
    <row r="29" spans="1:19" ht="21.95" customHeight="1">
      <c r="A29" s="4" t="s">
        <v>236</v>
      </c>
      <c r="B29" s="4" t="s">
        <v>237</v>
      </c>
      <c r="C29" s="4">
        <v>32948</v>
      </c>
      <c r="D29" s="7">
        <v>329.45</v>
      </c>
      <c r="E29" s="7">
        <v>450</v>
      </c>
      <c r="F29" s="4">
        <v>0</v>
      </c>
      <c r="G29" s="4">
        <v>12</v>
      </c>
      <c r="H29" s="4">
        <v>33</v>
      </c>
      <c r="I29" s="8"/>
      <c r="J29" s="8"/>
      <c r="K29" s="8"/>
      <c r="L29" s="8"/>
      <c r="M29" s="8"/>
      <c r="N29" s="8"/>
      <c r="O29" s="8"/>
      <c r="P29" s="8"/>
      <c r="Q29" s="15"/>
      <c r="R29" s="9"/>
      <c r="S29" s="24"/>
    </row>
    <row r="30" spans="1:19" ht="21.95" customHeight="1">
      <c r="A30" s="4" t="s">
        <v>238</v>
      </c>
      <c r="B30" s="4" t="s">
        <v>239</v>
      </c>
      <c r="C30" s="4">
        <v>77255</v>
      </c>
      <c r="D30" s="7">
        <v>555.88</v>
      </c>
      <c r="E30" s="7">
        <v>600</v>
      </c>
      <c r="F30" s="4">
        <v>0</v>
      </c>
      <c r="G30" s="4">
        <v>4</v>
      </c>
      <c r="H30" s="4">
        <v>19</v>
      </c>
      <c r="I30" s="8"/>
      <c r="J30" s="8"/>
      <c r="K30" s="8"/>
      <c r="L30" s="8"/>
      <c r="M30" s="8"/>
      <c r="N30" s="8"/>
      <c r="O30" s="8"/>
      <c r="P30" s="8"/>
      <c r="Q30" s="15"/>
      <c r="R30" s="9"/>
      <c r="S30" s="24"/>
    </row>
    <row r="31" spans="1:19" ht="21.95" customHeight="1">
      <c r="A31" s="4" t="s">
        <v>240</v>
      </c>
      <c r="B31" s="4" t="s">
        <v>241</v>
      </c>
      <c r="C31" s="4">
        <v>37987</v>
      </c>
      <c r="D31" s="7">
        <v>993.69</v>
      </c>
      <c r="E31" s="7">
        <v>1000</v>
      </c>
      <c r="F31" s="4">
        <v>3</v>
      </c>
      <c r="G31" s="4">
        <v>4</v>
      </c>
      <c r="H31" s="4">
        <v>14</v>
      </c>
      <c r="I31" s="8"/>
      <c r="J31" s="8"/>
      <c r="K31" s="8"/>
      <c r="L31" s="8"/>
      <c r="M31" s="8"/>
      <c r="N31" s="8"/>
      <c r="O31" s="8"/>
      <c r="P31" s="8"/>
      <c r="Q31" s="15"/>
      <c r="R31" s="9"/>
      <c r="S31" s="24"/>
    </row>
    <row r="32" spans="1:19" ht="21.95" customHeight="1">
      <c r="A32" s="4" t="s">
        <v>242</v>
      </c>
      <c r="B32" s="4" t="s">
        <v>243</v>
      </c>
      <c r="C32" s="4">
        <v>53854</v>
      </c>
      <c r="D32" s="7">
        <v>1215.49</v>
      </c>
      <c r="E32" s="7">
        <v>1500</v>
      </c>
      <c r="F32" s="4">
        <v>5</v>
      </c>
      <c r="G32" s="4">
        <v>24</v>
      </c>
      <c r="H32" s="4">
        <v>16</v>
      </c>
      <c r="I32" s="8"/>
      <c r="J32" s="8"/>
      <c r="K32" s="8"/>
      <c r="L32" s="8"/>
      <c r="M32" s="8"/>
      <c r="N32" s="8"/>
      <c r="O32" s="8"/>
      <c r="P32" s="8"/>
      <c r="Q32" s="15"/>
      <c r="R32" s="9"/>
      <c r="S32" s="24"/>
    </row>
    <row r="33" spans="1:19" ht="21.95" customHeight="1">
      <c r="A33" s="4" t="s">
        <v>244</v>
      </c>
      <c r="B33" s="4" t="s">
        <v>205</v>
      </c>
      <c r="C33" s="4">
        <v>10886</v>
      </c>
      <c r="D33" s="7">
        <v>973.9</v>
      </c>
      <c r="E33" s="7">
        <v>1200</v>
      </c>
      <c r="F33" s="4">
        <v>7</v>
      </c>
      <c r="G33" s="4">
        <v>4</v>
      </c>
      <c r="H33" s="4">
        <v>22</v>
      </c>
      <c r="I33" s="8"/>
      <c r="J33" s="8"/>
      <c r="K33" s="8"/>
      <c r="L33" s="8"/>
      <c r="M33" s="8"/>
      <c r="N33" s="8"/>
      <c r="O33" s="8"/>
      <c r="P33" s="8"/>
      <c r="Q33" s="15"/>
      <c r="R33" s="9"/>
      <c r="S33" s="24"/>
    </row>
    <row r="34" spans="1:19" ht="21.95" customHeight="1">
      <c r="A34" s="4" t="s">
        <v>245</v>
      </c>
      <c r="B34" s="4" t="s">
        <v>246</v>
      </c>
      <c r="C34" s="4">
        <v>30447</v>
      </c>
      <c r="D34" s="7">
        <v>1311.3</v>
      </c>
      <c r="E34" s="7">
        <v>1200</v>
      </c>
      <c r="F34" s="4">
        <v>4</v>
      </c>
      <c r="G34" s="4">
        <v>24</v>
      </c>
      <c r="H34" s="4">
        <v>34</v>
      </c>
      <c r="I34" s="8"/>
      <c r="J34" s="8"/>
      <c r="K34" s="8"/>
      <c r="L34" s="8"/>
      <c r="M34" s="8"/>
      <c r="N34" s="8"/>
      <c r="O34" s="8"/>
      <c r="P34" s="8"/>
      <c r="Q34" s="15"/>
      <c r="R34" s="9"/>
      <c r="S34" s="24"/>
    </row>
    <row r="35" spans="1:19" ht="21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0"/>
    </row>
    <row r="36" spans="1:19" ht="21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0"/>
    </row>
    <row r="37" spans="1:19" ht="21" customHeight="1">
      <c r="A37" s="44" t="s">
        <v>255</v>
      </c>
      <c r="B37" s="44"/>
      <c r="C37" s="44"/>
      <c r="D37" s="44"/>
      <c r="E37" s="44"/>
      <c r="F37" s="44"/>
      <c r="G37" s="44"/>
      <c r="H37" s="44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0"/>
    </row>
    <row r="38" spans="1:19" ht="21" customHeight="1">
      <c r="A38" s="45" t="s">
        <v>256</v>
      </c>
      <c r="B38" s="45"/>
      <c r="C38" s="45"/>
      <c r="D38" s="45"/>
      <c r="E38" s="45"/>
      <c r="F38" s="45"/>
      <c r="G38" s="45"/>
      <c r="H38" s="45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21" customHeight="1">
      <c r="A39" s="44"/>
      <c r="B39" s="44"/>
      <c r="C39" s="44"/>
      <c r="D39" s="44"/>
      <c r="E39" s="44"/>
      <c r="F39" s="44"/>
      <c r="G39" s="44"/>
      <c r="H39" s="44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0"/>
    </row>
    <row r="40" spans="1:19" ht="21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0"/>
    </row>
    <row r="41" spans="1:19" ht="21" customHeight="1">
      <c r="A41" s="18" t="s">
        <v>171</v>
      </c>
      <c r="B41" s="18" t="s">
        <v>57</v>
      </c>
      <c r="C41" s="18" t="s">
        <v>180</v>
      </c>
      <c r="D41" s="18" t="s">
        <v>181</v>
      </c>
      <c r="E41" s="18" t="s">
        <v>182</v>
      </c>
      <c r="F41" s="18" t="s">
        <v>257</v>
      </c>
      <c r="G41" s="21"/>
      <c r="H41" s="19" t="s">
        <v>258</v>
      </c>
      <c r="I41" s="19" t="s">
        <v>259</v>
      </c>
      <c r="J41" s="19" t="s">
        <v>260</v>
      </c>
      <c r="K41" s="19" t="s">
        <v>261</v>
      </c>
      <c r="L41" s="21"/>
      <c r="M41" s="21"/>
      <c r="N41" s="21"/>
      <c r="O41" s="21"/>
      <c r="P41" s="21"/>
      <c r="Q41" s="21"/>
      <c r="R41" s="21"/>
      <c r="S41" s="20"/>
    </row>
    <row r="42" spans="1:19" ht="21" customHeight="1">
      <c r="A42" s="4" t="s">
        <v>183</v>
      </c>
      <c r="B42" s="4" t="s">
        <v>105</v>
      </c>
      <c r="C42" s="4">
        <v>0</v>
      </c>
      <c r="D42" s="4">
        <v>12</v>
      </c>
      <c r="E42" s="4">
        <v>17</v>
      </c>
      <c r="F42" s="8"/>
      <c r="G42" s="21"/>
      <c r="H42" s="4">
        <v>17</v>
      </c>
      <c r="I42" s="4">
        <v>12</v>
      </c>
      <c r="J42" s="11"/>
      <c r="K42" s="4" t="s">
        <v>262</v>
      </c>
      <c r="L42" s="21"/>
      <c r="M42" s="21"/>
      <c r="N42" s="21"/>
      <c r="O42" s="21"/>
      <c r="P42" s="21"/>
      <c r="Q42" s="21"/>
      <c r="R42" s="21"/>
      <c r="S42" s="20"/>
    </row>
    <row r="43" spans="1:19" ht="21" customHeight="1">
      <c r="A43" s="4" t="s">
        <v>187</v>
      </c>
      <c r="B43" s="4" t="s">
        <v>115</v>
      </c>
      <c r="C43" s="4">
        <v>7</v>
      </c>
      <c r="D43" s="4">
        <v>12</v>
      </c>
      <c r="E43" s="4">
        <v>1</v>
      </c>
      <c r="F43" s="8"/>
      <c r="G43" s="21"/>
      <c r="H43" s="4">
        <v>1</v>
      </c>
      <c r="I43" s="4">
        <v>12</v>
      </c>
      <c r="J43" s="11"/>
      <c r="K43" s="4" t="s">
        <v>262</v>
      </c>
      <c r="L43" s="21"/>
      <c r="M43" s="21"/>
      <c r="N43" s="21"/>
      <c r="O43" s="21"/>
      <c r="P43" s="21"/>
      <c r="Q43" s="21"/>
      <c r="R43" s="21"/>
      <c r="S43" s="20"/>
    </row>
    <row r="44" spans="1:19" ht="21" customHeight="1">
      <c r="A44" s="4" t="s">
        <v>190</v>
      </c>
      <c r="B44" s="4" t="s">
        <v>66</v>
      </c>
      <c r="C44" s="4">
        <v>3</v>
      </c>
      <c r="D44" s="4">
        <v>12</v>
      </c>
      <c r="E44" s="4">
        <v>14</v>
      </c>
      <c r="F44" s="8"/>
      <c r="G44" s="21"/>
      <c r="H44" s="4">
        <v>14</v>
      </c>
      <c r="I44" s="4">
        <v>12</v>
      </c>
      <c r="J44" s="11"/>
      <c r="K44" s="4" t="s">
        <v>262</v>
      </c>
      <c r="L44" s="21"/>
      <c r="M44" s="21"/>
      <c r="N44" s="21"/>
      <c r="O44" s="21"/>
      <c r="P44" s="21"/>
      <c r="Q44" s="21"/>
      <c r="R44" s="21"/>
      <c r="S44" s="20"/>
    </row>
    <row r="45" spans="1:19" ht="21" customHeight="1">
      <c r="A45" s="4" t="s">
        <v>194</v>
      </c>
      <c r="B45" s="4" t="s">
        <v>66</v>
      </c>
      <c r="C45" s="4">
        <v>0</v>
      </c>
      <c r="D45" s="4">
        <v>8</v>
      </c>
      <c r="E45" s="4">
        <v>2</v>
      </c>
      <c r="F45" s="8"/>
      <c r="G45" s="21"/>
      <c r="H45" s="4">
        <v>2</v>
      </c>
      <c r="I45" s="4">
        <v>0</v>
      </c>
      <c r="J45" s="11"/>
      <c r="K45" s="4" t="s">
        <v>262</v>
      </c>
      <c r="L45" s="21"/>
      <c r="M45" s="21"/>
      <c r="N45" s="21"/>
      <c r="O45" s="21"/>
      <c r="P45" s="21"/>
      <c r="Q45" s="21"/>
      <c r="R45" s="21"/>
      <c r="S45" s="20"/>
    </row>
    <row r="46" spans="1:19" ht="21" customHeight="1">
      <c r="A46" s="4" t="s">
        <v>197</v>
      </c>
      <c r="B46" s="4" t="s">
        <v>115</v>
      </c>
      <c r="C46" s="4">
        <v>12</v>
      </c>
      <c r="D46" s="4">
        <v>4</v>
      </c>
      <c r="E46" s="4">
        <v>18</v>
      </c>
      <c r="F46" s="8"/>
      <c r="G46" s="21"/>
      <c r="H46" s="4">
        <v>18</v>
      </c>
      <c r="I46" s="4">
        <v>4</v>
      </c>
      <c r="J46" s="11"/>
      <c r="K46" s="4" t="s">
        <v>262</v>
      </c>
      <c r="L46" s="21"/>
      <c r="M46" s="21"/>
      <c r="N46" s="21"/>
      <c r="O46" s="21"/>
      <c r="P46" s="21"/>
      <c r="Q46" s="21"/>
      <c r="R46" s="21"/>
      <c r="S46" s="20"/>
    </row>
    <row r="47" spans="1:19" ht="21" customHeight="1">
      <c r="A47" s="4" t="s">
        <v>199</v>
      </c>
      <c r="B47" s="4" t="s">
        <v>66</v>
      </c>
      <c r="C47" s="4">
        <v>1</v>
      </c>
      <c r="D47" s="4">
        <v>12</v>
      </c>
      <c r="E47" s="4">
        <v>36</v>
      </c>
      <c r="F47" s="8"/>
      <c r="G47" s="21"/>
      <c r="H47" s="4">
        <v>36</v>
      </c>
      <c r="I47" s="4">
        <v>12</v>
      </c>
      <c r="J47" s="11"/>
      <c r="K47" s="4" t="s">
        <v>262</v>
      </c>
      <c r="L47" s="21"/>
      <c r="M47" s="21"/>
      <c r="N47" s="21"/>
      <c r="O47" s="21"/>
      <c r="P47" s="21"/>
      <c r="Q47" s="21"/>
      <c r="R47" s="21"/>
      <c r="S47" s="20"/>
    </row>
    <row r="48" spans="1:19" ht="21" customHeight="1">
      <c r="A48" s="4" t="s">
        <v>202</v>
      </c>
      <c r="B48" s="4" t="s">
        <v>66</v>
      </c>
      <c r="C48" s="4">
        <v>8</v>
      </c>
      <c r="D48" s="4">
        <v>4</v>
      </c>
      <c r="E48" s="4">
        <v>21</v>
      </c>
      <c r="F48" s="8"/>
      <c r="G48" s="21"/>
      <c r="H48" s="4">
        <v>21</v>
      </c>
      <c r="I48" s="4">
        <v>4</v>
      </c>
      <c r="J48" s="11"/>
      <c r="K48" s="4" t="s">
        <v>262</v>
      </c>
      <c r="L48" s="21"/>
      <c r="M48" s="21"/>
      <c r="N48" s="21"/>
      <c r="O48" s="21"/>
      <c r="P48" s="21"/>
      <c r="Q48" s="21"/>
      <c r="R48" s="21"/>
      <c r="S48" s="20"/>
    </row>
    <row r="49" spans="1:19">
      <c r="A49" s="4" t="s">
        <v>204</v>
      </c>
      <c r="B49" s="4" t="s">
        <v>66</v>
      </c>
      <c r="C49" s="4">
        <v>10</v>
      </c>
      <c r="D49" s="4">
        <v>12</v>
      </c>
      <c r="E49" s="4">
        <v>15</v>
      </c>
      <c r="F49" s="8"/>
      <c r="G49" s="20"/>
      <c r="H49" s="4">
        <v>15</v>
      </c>
      <c r="I49" s="4">
        <v>12</v>
      </c>
      <c r="J49" s="11"/>
      <c r="K49" s="4" t="s">
        <v>262</v>
      </c>
      <c r="L49" s="20"/>
      <c r="M49" s="20"/>
      <c r="N49" s="20"/>
      <c r="O49" s="20"/>
      <c r="P49" s="20"/>
      <c r="Q49" s="20"/>
      <c r="R49" s="20"/>
      <c r="S49" s="20"/>
    </row>
    <row r="50" spans="1:19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</sheetData>
  <mergeCells count="5">
    <mergeCell ref="A37:H39"/>
    <mergeCell ref="A1:S2"/>
    <mergeCell ref="A3:S3"/>
    <mergeCell ref="A5:S6"/>
    <mergeCell ref="A7:S8"/>
  </mergeCells>
  <conditionalFormatting sqref="F42:F49">
    <cfRule type="expression" dxfId="5" priority="4">
      <formula>F42="Escalate"</formula>
    </cfRule>
  </conditionalFormatting>
  <conditionalFormatting sqref="M11:M34">
    <cfRule type="expression" dxfId="4" priority="1">
      <formula>M11="Review Type"</formula>
    </cfRule>
  </conditionalFormatting>
  <conditionalFormatting sqref="S11:S34">
    <cfRule type="expression" dxfId="3" priority="5">
      <formula>S11="Critical"</formula>
    </cfRule>
    <cfRule type="expression" dxfId="2" priority="6">
      <formula>S11="Exceptional"</formula>
    </cfRule>
  </conditionalFormatting>
  <dataValidations count="11">
    <dataValidation allowBlank="1" showInputMessage="1" promptTitle="Region" prompt="Extract first field from Composite Key._x000a_استخرج أول حقل." sqref="I10" xr:uid="{00000000-0002-0000-0400-000000000000}"/>
    <dataValidation allowBlank="1" showInputMessage="1" promptTitle="Service" prompt="Extract service from Composite Key._x000a_استخرج الخدمة." sqref="J10" xr:uid="{00000000-0002-0000-0400-000001000000}"/>
    <dataValidation allowBlank="1" showInputMessage="1" promptTitle="Customer ID" prompt="Extract customer identifier._x000a_استخرج رقم العميل." sqref="K10" xr:uid="{00000000-0002-0000-0400-000002000000}"/>
    <dataValidation allowBlank="1" showInputMessage="1" promptTitle="Order Type" prompt="Extract order type code._x000a_استخرج نوع الطلب." sqref="L10" xr:uid="{00000000-0002-0000-0400-000003000000}"/>
    <dataValidation allowBlank="1" showInputMessage="1" promptTitle="Type Flag" prompt="Use ISTEXT/ISNONTEXT to create a business flag._x000a_استخدم فحص النوع لإنشاء نتيجة واضحة." sqref="M10" xr:uid="{00000000-0002-0000-0400-000004000000}"/>
    <dataValidation allowBlank="1" showInputMessage="1" promptTitle="Plan" prompt="Lookup from Customer Master._x000a_ابحث عن الجواب في Customer Master." sqref="N10" xr:uid="{00000000-0002-0000-0400-000005000000}"/>
    <dataValidation allowBlank="1" showInputMessage="1" promptTitle="Account Manager" prompt="Lookup from Customer Master._x000a_ابحث عن مسؤول الحساب." sqref="O10" xr:uid="{00000000-0002-0000-0400-000006000000}"/>
    <dataValidation allowBlank="1" showInputMessage="1" promptTitle="Account Status" prompt="Lookup from Customer Master._x000a_ابحث عن حالة الحساب." sqref="P10" xr:uid="{00000000-0002-0000-0400-000007000000}"/>
    <dataValidation allowBlank="1" showInputMessage="1" promptTitle="Monthly Fee" prompt="Return Monthly Fee from Customer Master._x000a_أرجع الرسوم الشهرية من Customer Master." sqref="Q10" xr:uid="{00000000-0002-0000-0400-000008000000}"/>
    <dataValidation allowBlank="1" showInputMessage="1" promptTitle="Achievement %" prompt="Revenue / Target._x000a_الإيراد ÷ المستهدف." sqref="R10" xr:uid="{00000000-0002-0000-0400-000009000000}"/>
    <dataValidation allowBlank="1" showInputMessage="1" promptTitle="Performance Tier" prompt="IFS: ≥110 Exceptional, ≥100 Achieved, ≥85 Watch, else Critical._x000a_تصنيف الأداء باستخدام IFS." sqref="S10" xr:uid="{00000000-0002-0000-0400-00000A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"/>
  <sheetViews>
    <sheetView workbookViewId="0">
      <selection activeCell="J11" sqref="J11"/>
    </sheetView>
  </sheetViews>
  <sheetFormatPr defaultRowHeight="14.25"/>
  <cols>
    <col min="1" max="1" width="14" customWidth="1"/>
    <col min="2" max="4" width="15" customWidth="1"/>
    <col min="5" max="5" width="11" customWidth="1"/>
    <col min="6" max="6" width="12" customWidth="1"/>
    <col min="7" max="9" width="16" customWidth="1"/>
    <col min="10" max="10" width="18" customWidth="1"/>
  </cols>
  <sheetData>
    <row r="1" spans="1:19" ht="21" customHeight="1">
      <c r="A1" s="42" t="s">
        <v>263</v>
      </c>
      <c r="B1" s="42"/>
      <c r="C1" s="42"/>
      <c r="D1" s="42"/>
      <c r="E1" s="42"/>
      <c r="F1" s="42"/>
      <c r="G1" s="42"/>
      <c r="H1" s="42"/>
      <c r="I1" s="42"/>
      <c r="J1" s="42"/>
      <c r="K1" s="20"/>
      <c r="L1" s="20"/>
      <c r="M1" s="20"/>
      <c r="N1" s="20"/>
      <c r="O1" s="20"/>
      <c r="P1" s="20"/>
      <c r="Q1" s="20"/>
      <c r="R1" s="20"/>
      <c r="S1" s="20"/>
    </row>
    <row r="2" spans="1:19" ht="2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20"/>
      <c r="L2" s="20"/>
      <c r="M2" s="20"/>
      <c r="N2" s="20"/>
      <c r="O2" s="20"/>
      <c r="P2" s="20"/>
      <c r="Q2" s="20"/>
      <c r="R2" s="20"/>
      <c r="S2" s="20"/>
    </row>
    <row r="3" spans="1:19" ht="21" customHeight="1">
      <c r="A3" s="58" t="s">
        <v>264</v>
      </c>
      <c r="B3" s="59"/>
      <c r="C3" s="59"/>
      <c r="D3" s="59"/>
      <c r="E3" s="59"/>
      <c r="F3" s="59"/>
      <c r="G3" s="59"/>
      <c r="H3" s="59"/>
      <c r="I3" s="59"/>
      <c r="J3" s="59"/>
      <c r="K3" s="20"/>
      <c r="L3" s="20"/>
      <c r="M3" s="20"/>
      <c r="N3" s="20"/>
      <c r="O3" s="20"/>
      <c r="P3" s="20"/>
      <c r="Q3" s="20"/>
      <c r="R3" s="20"/>
      <c r="S3" s="20"/>
    </row>
    <row r="4" spans="1:19" ht="21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0"/>
      <c r="L4" s="20"/>
      <c r="M4" s="20"/>
      <c r="N4" s="20"/>
      <c r="O4" s="20"/>
      <c r="P4" s="20"/>
      <c r="Q4" s="20"/>
      <c r="R4" s="20"/>
      <c r="S4" s="20"/>
    </row>
    <row r="5" spans="1:19" ht="21" customHeight="1">
      <c r="A5" s="37" t="s">
        <v>291</v>
      </c>
      <c r="B5" s="37"/>
      <c r="C5" s="37"/>
      <c r="D5" s="37"/>
      <c r="E5" s="37"/>
      <c r="F5" s="37"/>
      <c r="G5" s="37"/>
      <c r="H5" s="37"/>
      <c r="I5" s="37"/>
      <c r="J5" s="37"/>
      <c r="K5" s="20"/>
      <c r="L5" s="20"/>
      <c r="M5" s="20"/>
      <c r="N5" s="20"/>
      <c r="O5" s="20"/>
      <c r="P5" s="20"/>
      <c r="Q5" s="20"/>
      <c r="R5" s="20"/>
      <c r="S5" s="20"/>
    </row>
    <row r="6" spans="1:19" ht="21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20"/>
      <c r="L6" s="20"/>
      <c r="M6" s="20"/>
      <c r="N6" s="20"/>
      <c r="O6" s="20"/>
      <c r="P6" s="20"/>
      <c r="Q6" s="20"/>
      <c r="R6" s="20"/>
      <c r="S6" s="20"/>
    </row>
    <row r="7" spans="1:19" ht="21" customHeight="1">
      <c r="A7" s="52" t="s">
        <v>292</v>
      </c>
      <c r="B7" s="53"/>
      <c r="C7" s="53"/>
      <c r="D7" s="53"/>
      <c r="E7" s="53"/>
      <c r="F7" s="53"/>
      <c r="G7" s="53"/>
      <c r="H7" s="53"/>
      <c r="I7" s="53"/>
      <c r="J7" s="53"/>
      <c r="K7" s="20"/>
      <c r="L7" s="20"/>
      <c r="M7" s="20"/>
      <c r="N7" s="20"/>
      <c r="O7" s="20"/>
      <c r="P7" s="20"/>
      <c r="Q7" s="20"/>
      <c r="R7" s="20"/>
      <c r="S7" s="20"/>
    </row>
    <row r="8" spans="1:19" ht="21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20"/>
      <c r="L8" s="20"/>
      <c r="M8" s="20"/>
      <c r="N8" s="20"/>
      <c r="O8" s="20"/>
      <c r="P8" s="20"/>
      <c r="Q8" s="20"/>
      <c r="R8" s="20"/>
      <c r="S8" s="20"/>
    </row>
    <row r="9" spans="1:19" ht="21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0"/>
      <c r="L9" s="20"/>
      <c r="M9" s="20"/>
      <c r="N9" s="20"/>
      <c r="O9" s="20"/>
      <c r="P9" s="20"/>
      <c r="Q9" s="20"/>
      <c r="R9" s="20"/>
      <c r="S9" s="20"/>
    </row>
    <row r="10" spans="1:19" ht="21" customHeight="1">
      <c r="A10" s="5" t="s">
        <v>171</v>
      </c>
      <c r="B10" s="5" t="s">
        <v>174</v>
      </c>
      <c r="C10" s="5" t="s">
        <v>175</v>
      </c>
      <c r="D10" s="5" t="s">
        <v>176</v>
      </c>
      <c r="E10" s="5" t="s">
        <v>177</v>
      </c>
      <c r="F10" s="5" t="s">
        <v>265</v>
      </c>
      <c r="G10" s="5" t="s">
        <v>266</v>
      </c>
      <c r="H10" s="5" t="s">
        <v>267</v>
      </c>
      <c r="I10" s="5" t="s">
        <v>268</v>
      </c>
      <c r="J10" s="5" t="s">
        <v>269</v>
      </c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1" customHeight="1">
      <c r="A11" s="4" t="s">
        <v>183</v>
      </c>
      <c r="B11" s="6">
        <v>46063</v>
      </c>
      <c r="C11" s="6">
        <v>46069</v>
      </c>
      <c r="D11" s="6">
        <v>46072</v>
      </c>
      <c r="E11" s="4" t="s">
        <v>186</v>
      </c>
      <c r="F11" s="8"/>
      <c r="G11" s="8"/>
      <c r="H11" s="12"/>
      <c r="I11" s="8"/>
      <c r="J11" s="12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1" customHeight="1">
      <c r="A12" s="4" t="s">
        <v>187</v>
      </c>
      <c r="B12" s="6">
        <v>46139</v>
      </c>
      <c r="C12" s="6">
        <v>46145</v>
      </c>
      <c r="D12" s="6">
        <v>46146</v>
      </c>
      <c r="E12" s="4" t="s">
        <v>186</v>
      </c>
      <c r="F12" s="8"/>
      <c r="G12" s="8"/>
      <c r="H12" s="12"/>
      <c r="I12" s="8"/>
      <c r="J12" s="12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1" customHeight="1">
      <c r="A13" s="4" t="s">
        <v>190</v>
      </c>
      <c r="B13" s="6">
        <v>46102</v>
      </c>
      <c r="C13" s="6">
        <v>46105</v>
      </c>
      <c r="D13" s="6">
        <v>46108</v>
      </c>
      <c r="E13" s="4" t="s">
        <v>193</v>
      </c>
      <c r="F13" s="8"/>
      <c r="G13" s="8"/>
      <c r="H13" s="12"/>
      <c r="I13" s="8"/>
      <c r="J13" s="12"/>
      <c r="K13" s="20"/>
      <c r="L13" s="20"/>
      <c r="M13" s="20"/>
      <c r="N13" s="20"/>
      <c r="O13" s="20"/>
      <c r="P13" s="20"/>
      <c r="Q13" s="20"/>
      <c r="R13" s="20"/>
      <c r="S13" s="20"/>
    </row>
    <row r="14" spans="1:19" ht="21" customHeight="1">
      <c r="A14" s="4" t="s">
        <v>194</v>
      </c>
      <c r="B14" s="6">
        <v>46031</v>
      </c>
      <c r="C14" s="6">
        <v>46035</v>
      </c>
      <c r="D14" s="6">
        <v>46038</v>
      </c>
      <c r="E14" s="4" t="s">
        <v>186</v>
      </c>
      <c r="F14" s="8"/>
      <c r="G14" s="8"/>
      <c r="H14" s="12"/>
      <c r="I14" s="8"/>
      <c r="J14" s="12"/>
      <c r="K14" s="20"/>
      <c r="L14" s="20"/>
      <c r="M14" s="20"/>
      <c r="N14" s="20"/>
      <c r="O14" s="20"/>
      <c r="P14" s="20"/>
      <c r="Q14" s="20"/>
      <c r="R14" s="20"/>
      <c r="S14" s="20"/>
    </row>
    <row r="15" spans="1:19" ht="21" customHeight="1">
      <c r="A15" s="4" t="s">
        <v>197</v>
      </c>
      <c r="B15" s="6">
        <v>46159</v>
      </c>
      <c r="C15" s="6">
        <v>46163</v>
      </c>
      <c r="D15" s="6">
        <v>46162</v>
      </c>
      <c r="E15" s="4" t="s">
        <v>186</v>
      </c>
      <c r="F15" s="8"/>
      <c r="G15" s="8"/>
      <c r="H15" s="12"/>
      <c r="I15" s="8"/>
      <c r="J15" s="12"/>
      <c r="K15" s="20"/>
      <c r="L15" s="20"/>
      <c r="M15" s="20"/>
      <c r="N15" s="20"/>
      <c r="O15" s="20"/>
      <c r="P15" s="20"/>
      <c r="Q15" s="20"/>
      <c r="R15" s="20"/>
      <c r="S15" s="20"/>
    </row>
    <row r="16" spans="1:19" ht="21" customHeight="1">
      <c r="A16" s="4" t="s">
        <v>199</v>
      </c>
      <c r="B16" s="6">
        <v>46207</v>
      </c>
      <c r="C16" s="6">
        <v>46211</v>
      </c>
      <c r="D16" s="6">
        <v>46211</v>
      </c>
      <c r="E16" s="4" t="s">
        <v>193</v>
      </c>
      <c r="F16" s="8"/>
      <c r="G16" s="8"/>
      <c r="H16" s="12"/>
      <c r="I16" s="8"/>
      <c r="J16" s="12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1" customHeight="1">
      <c r="A17" s="4" t="s">
        <v>202</v>
      </c>
      <c r="B17" s="6">
        <v>46042</v>
      </c>
      <c r="C17" s="6">
        <v>46046</v>
      </c>
      <c r="D17" s="6">
        <v>46049</v>
      </c>
      <c r="E17" s="4" t="s">
        <v>186</v>
      </c>
      <c r="F17" s="8"/>
      <c r="G17" s="8"/>
      <c r="H17" s="12"/>
      <c r="I17" s="8"/>
      <c r="J17" s="12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1" customHeight="1">
      <c r="A18" s="4" t="s">
        <v>204</v>
      </c>
      <c r="B18" s="6">
        <v>46184</v>
      </c>
      <c r="C18" s="6">
        <v>46190</v>
      </c>
      <c r="D18" s="6">
        <v>46194</v>
      </c>
      <c r="E18" s="4" t="s">
        <v>206</v>
      </c>
      <c r="F18" s="8"/>
      <c r="G18" s="8"/>
      <c r="H18" s="12"/>
      <c r="I18" s="8"/>
      <c r="J18" s="12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21" customHeight="1">
      <c r="A19" s="4" t="s">
        <v>207</v>
      </c>
      <c r="B19" s="6">
        <v>46085</v>
      </c>
      <c r="C19" s="6">
        <v>46091</v>
      </c>
      <c r="D19" s="6">
        <v>46093</v>
      </c>
      <c r="E19" s="4" t="s">
        <v>186</v>
      </c>
      <c r="F19" s="8"/>
      <c r="G19" s="8"/>
      <c r="H19" s="12"/>
      <c r="I19" s="8"/>
      <c r="J19" s="12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1" customHeight="1">
      <c r="A20" s="4" t="s">
        <v>210</v>
      </c>
      <c r="B20" s="6">
        <v>46144</v>
      </c>
      <c r="C20" s="6">
        <v>46150</v>
      </c>
      <c r="D20" s="6">
        <v>46153</v>
      </c>
      <c r="E20" s="4" t="s">
        <v>206</v>
      </c>
      <c r="F20" s="8"/>
      <c r="G20" s="8"/>
      <c r="H20" s="12"/>
      <c r="I20" s="8"/>
      <c r="J20" s="12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1" customHeight="1">
      <c r="A21" s="4" t="s">
        <v>213</v>
      </c>
      <c r="B21" s="6">
        <v>46167</v>
      </c>
      <c r="C21" s="6">
        <v>46173</v>
      </c>
      <c r="D21" s="6">
        <v>46173</v>
      </c>
      <c r="E21" s="4" t="s">
        <v>206</v>
      </c>
      <c r="F21" s="8"/>
      <c r="G21" s="8"/>
      <c r="H21" s="12"/>
      <c r="I21" s="8"/>
      <c r="J21" s="12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21" customHeight="1">
      <c r="A22" s="4" t="s">
        <v>216</v>
      </c>
      <c r="B22" s="6">
        <v>46206</v>
      </c>
      <c r="C22" s="6">
        <v>46212</v>
      </c>
      <c r="D22" s="6">
        <v>46214</v>
      </c>
      <c r="E22" s="4" t="s">
        <v>186</v>
      </c>
      <c r="F22" s="8"/>
      <c r="G22" s="8"/>
      <c r="H22" s="12"/>
      <c r="I22" s="8"/>
      <c r="J22" s="12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21" customHeight="1">
      <c r="A23" s="4" t="s">
        <v>219</v>
      </c>
      <c r="B23" s="6">
        <v>46071</v>
      </c>
      <c r="C23" s="6">
        <v>46075</v>
      </c>
      <c r="D23" s="6">
        <v>46079</v>
      </c>
      <c r="E23" s="4" t="s">
        <v>193</v>
      </c>
      <c r="F23" s="8"/>
      <c r="G23" s="8"/>
      <c r="H23" s="12"/>
      <c r="I23" s="8"/>
      <c r="J23" s="12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21" customHeight="1">
      <c r="A24" s="4" t="s">
        <v>222</v>
      </c>
      <c r="B24" s="6">
        <v>46170</v>
      </c>
      <c r="C24" s="6">
        <v>46172</v>
      </c>
      <c r="D24" s="6">
        <v>46174</v>
      </c>
      <c r="E24" s="4" t="s">
        <v>193</v>
      </c>
      <c r="F24" s="8"/>
      <c r="G24" s="8"/>
      <c r="H24" s="12"/>
      <c r="I24" s="8"/>
      <c r="J24" s="12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21" customHeight="1">
      <c r="A25" s="4" t="s">
        <v>225</v>
      </c>
      <c r="B25" s="6">
        <v>46183</v>
      </c>
      <c r="C25" s="6">
        <v>46189</v>
      </c>
      <c r="D25" s="6">
        <v>46188</v>
      </c>
      <c r="E25" s="4" t="s">
        <v>186</v>
      </c>
      <c r="F25" s="8"/>
      <c r="G25" s="8"/>
      <c r="H25" s="12"/>
      <c r="I25" s="8"/>
      <c r="J25" s="12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1" customHeight="1">
      <c r="A26" s="4" t="s">
        <v>228</v>
      </c>
      <c r="B26" s="6">
        <v>46161</v>
      </c>
      <c r="C26" s="6">
        <v>46167</v>
      </c>
      <c r="D26" s="6">
        <v>46166</v>
      </c>
      <c r="E26" s="4" t="s">
        <v>186</v>
      </c>
      <c r="F26" s="8"/>
      <c r="G26" s="8"/>
      <c r="H26" s="12"/>
      <c r="I26" s="8"/>
      <c r="J26" s="12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21" customHeight="1">
      <c r="A27" s="4" t="s">
        <v>230</v>
      </c>
      <c r="B27" s="6">
        <v>46129</v>
      </c>
      <c r="C27" s="6">
        <v>46135</v>
      </c>
      <c r="D27" s="6">
        <v>46139</v>
      </c>
      <c r="E27" s="4" t="s">
        <v>206</v>
      </c>
      <c r="F27" s="8"/>
      <c r="G27" s="8"/>
      <c r="H27" s="12"/>
      <c r="I27" s="8"/>
      <c r="J27" s="12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21" customHeight="1">
      <c r="A28" s="4" t="s">
        <v>233</v>
      </c>
      <c r="B28" s="6">
        <v>46194</v>
      </c>
      <c r="C28" s="6">
        <v>46201</v>
      </c>
      <c r="D28" s="6">
        <v>46200</v>
      </c>
      <c r="E28" s="4" t="s">
        <v>206</v>
      </c>
      <c r="F28" s="8"/>
      <c r="G28" s="8"/>
      <c r="H28" s="12"/>
      <c r="I28" s="8"/>
      <c r="J28" s="12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1" customHeight="1">
      <c r="A29" s="4" t="s">
        <v>236</v>
      </c>
      <c r="B29" s="6">
        <v>46079</v>
      </c>
      <c r="C29" s="6">
        <v>46083</v>
      </c>
      <c r="D29" s="6">
        <v>46087</v>
      </c>
      <c r="E29" s="4" t="s">
        <v>186</v>
      </c>
      <c r="F29" s="8"/>
      <c r="G29" s="8"/>
      <c r="H29" s="12"/>
      <c r="I29" s="8"/>
      <c r="J29" s="12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21" customHeight="1">
      <c r="A30" s="4" t="s">
        <v>238</v>
      </c>
      <c r="B30" s="6">
        <v>46251</v>
      </c>
      <c r="C30" s="6">
        <v>46255</v>
      </c>
      <c r="D30" s="6">
        <v>46256</v>
      </c>
      <c r="E30" s="4" t="s">
        <v>186</v>
      </c>
      <c r="F30" s="8"/>
      <c r="G30" s="8"/>
      <c r="H30" s="12"/>
      <c r="I30" s="8"/>
      <c r="J30" s="12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21" customHeight="1">
      <c r="A31" s="4" t="s">
        <v>240</v>
      </c>
      <c r="B31" s="6">
        <v>46031</v>
      </c>
      <c r="C31" s="6">
        <v>46036</v>
      </c>
      <c r="D31" s="6">
        <v>46039</v>
      </c>
      <c r="E31" s="4" t="s">
        <v>186</v>
      </c>
      <c r="F31" s="8"/>
      <c r="G31" s="8"/>
      <c r="H31" s="12"/>
      <c r="I31" s="8"/>
      <c r="J31" s="12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21" customHeight="1">
      <c r="A32" s="4" t="s">
        <v>242</v>
      </c>
      <c r="B32" s="6">
        <v>46075</v>
      </c>
      <c r="C32" s="6">
        <v>46082</v>
      </c>
      <c r="D32" s="6">
        <v>46083</v>
      </c>
      <c r="E32" s="4" t="s">
        <v>206</v>
      </c>
      <c r="F32" s="8"/>
      <c r="G32" s="8"/>
      <c r="H32" s="12"/>
      <c r="I32" s="8"/>
      <c r="J32" s="12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21" customHeight="1">
      <c r="A33" s="4" t="s">
        <v>244</v>
      </c>
      <c r="B33" s="6">
        <v>46112</v>
      </c>
      <c r="C33" s="6">
        <v>46117</v>
      </c>
      <c r="D33" s="6">
        <v>46120</v>
      </c>
      <c r="E33" s="4" t="s">
        <v>186</v>
      </c>
      <c r="F33" s="8"/>
      <c r="G33" s="8"/>
      <c r="H33" s="12"/>
      <c r="I33" s="8"/>
      <c r="J33" s="12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21" customHeight="1">
      <c r="A34" s="4" t="s">
        <v>245</v>
      </c>
      <c r="B34" s="6">
        <v>46133</v>
      </c>
      <c r="C34" s="6">
        <v>46141</v>
      </c>
      <c r="D34" s="6">
        <v>46143</v>
      </c>
      <c r="E34" s="4" t="s">
        <v>206</v>
      </c>
      <c r="F34" s="8"/>
      <c r="G34" s="8"/>
      <c r="H34" s="12"/>
      <c r="I34" s="8"/>
      <c r="J34" s="12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21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21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21" customHeight="1">
      <c r="A37" s="47" t="s">
        <v>270</v>
      </c>
      <c r="B37" s="47"/>
      <c r="C37" s="47"/>
      <c r="D37" s="47"/>
      <c r="E37" s="47"/>
      <c r="F37" s="47"/>
      <c r="G37" s="47"/>
      <c r="H37" s="47"/>
      <c r="I37" s="47"/>
      <c r="J37" s="47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1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21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21" customHeight="1">
      <c r="A40" s="38" t="s">
        <v>271</v>
      </c>
      <c r="B40" s="39"/>
      <c r="C40" s="39"/>
      <c r="D40" s="39"/>
      <c r="E40" s="39"/>
      <c r="F40" s="39"/>
      <c r="G40" s="39"/>
      <c r="H40" s="39"/>
      <c r="I40" s="39"/>
      <c r="J40" s="39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21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21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1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21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21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21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0"/>
      <c r="L46" s="20"/>
      <c r="M46" s="20"/>
      <c r="N46" s="20"/>
      <c r="O46" s="20"/>
      <c r="P46" s="20"/>
      <c r="Q46" s="20"/>
      <c r="R46" s="20"/>
      <c r="S46" s="20"/>
    </row>
    <row r="47" spans="1:19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</sheetData>
  <mergeCells count="6">
    <mergeCell ref="A40:J41"/>
    <mergeCell ref="A1:J2"/>
    <mergeCell ref="A3:J3"/>
    <mergeCell ref="A5:J6"/>
    <mergeCell ref="A7:J8"/>
    <mergeCell ref="A37:J38"/>
  </mergeCells>
  <conditionalFormatting sqref="I11:I34">
    <cfRule type="expression" dxfId="1" priority="1">
      <formula>I11="Late"</formula>
    </cfRule>
    <cfRule type="expression" dxfId="0" priority="2">
      <formula>I11="On Time"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6"/>
  <sheetViews>
    <sheetView showGridLines="0" topLeftCell="A27" zoomScaleNormal="100" workbookViewId="0">
      <selection activeCell="A11" sqref="A11"/>
    </sheetView>
  </sheetViews>
  <sheetFormatPr defaultRowHeight="14.25"/>
  <cols>
    <col min="1" max="1" width="53" customWidth="1"/>
    <col min="2" max="2" width="20" customWidth="1"/>
    <col min="3" max="3" width="18" customWidth="1"/>
    <col min="4" max="4" width="20" customWidth="1"/>
    <col min="5" max="5" width="4" customWidth="1"/>
    <col min="6" max="6" width="24.625" bestFit="1" customWidth="1"/>
    <col min="7" max="8" width="24" customWidth="1"/>
    <col min="12" max="12" width="9" customWidth="1"/>
  </cols>
  <sheetData>
    <row r="1" spans="1:14" ht="21" customHeight="1">
      <c r="A1" s="70" t="s">
        <v>272</v>
      </c>
      <c r="B1" s="70"/>
      <c r="C1" s="70"/>
      <c r="D1" s="70"/>
      <c r="E1" s="70"/>
      <c r="F1" s="70"/>
      <c r="G1" s="70"/>
      <c r="H1" s="69"/>
      <c r="I1" s="20"/>
      <c r="J1" s="20"/>
      <c r="K1" s="20"/>
      <c r="L1" s="20"/>
      <c r="M1" s="20"/>
      <c r="N1" s="20"/>
    </row>
    <row r="2" spans="1:14" ht="21" customHeight="1">
      <c r="A2" s="71" t="s">
        <v>273</v>
      </c>
      <c r="B2" s="71"/>
      <c r="C2" s="71"/>
      <c r="D2" s="71"/>
      <c r="E2" s="71"/>
      <c r="F2" s="71"/>
      <c r="G2" s="71"/>
      <c r="H2" s="71"/>
      <c r="I2" s="20"/>
      <c r="J2" s="20"/>
      <c r="K2" s="20"/>
      <c r="L2" s="20"/>
      <c r="M2" s="20"/>
      <c r="N2" s="20"/>
    </row>
    <row r="3" spans="1:14" ht="21" customHeight="1">
      <c r="A3" s="21"/>
      <c r="B3" s="21"/>
      <c r="C3" s="21"/>
      <c r="D3" s="21"/>
      <c r="E3" s="21"/>
      <c r="F3" s="21"/>
      <c r="G3" s="21"/>
      <c r="H3" s="21"/>
      <c r="I3" s="20"/>
      <c r="J3" s="20"/>
      <c r="K3" s="20"/>
      <c r="L3" s="20"/>
      <c r="M3" s="20"/>
      <c r="N3" s="20"/>
    </row>
    <row r="4" spans="1:14" ht="21" customHeight="1">
      <c r="A4" s="37" t="s">
        <v>274</v>
      </c>
      <c r="B4" s="37"/>
      <c r="C4" s="37"/>
      <c r="D4" s="37"/>
      <c r="E4" s="37"/>
      <c r="F4" s="37"/>
      <c r="G4" s="37"/>
      <c r="H4" s="37"/>
      <c r="I4" s="20"/>
      <c r="J4" s="20"/>
      <c r="K4" s="20"/>
      <c r="L4" s="20"/>
      <c r="M4" s="20"/>
      <c r="N4" s="20"/>
    </row>
    <row r="5" spans="1:14" ht="21" customHeight="1">
      <c r="A5" s="37"/>
      <c r="B5" s="37"/>
      <c r="C5" s="37"/>
      <c r="D5" s="37"/>
      <c r="E5" s="37"/>
      <c r="F5" s="37"/>
      <c r="G5" s="37"/>
      <c r="H5" s="37"/>
      <c r="I5" s="20"/>
      <c r="J5" s="20"/>
      <c r="K5" s="20"/>
      <c r="L5" s="20"/>
      <c r="M5" s="20"/>
      <c r="N5" s="20"/>
    </row>
    <row r="6" spans="1:14" ht="21" customHeight="1">
      <c r="A6" s="71" t="s">
        <v>275</v>
      </c>
      <c r="B6" s="71"/>
      <c r="C6" s="71"/>
      <c r="D6" s="71"/>
      <c r="E6" s="71"/>
      <c r="F6" s="71"/>
      <c r="G6" s="71"/>
      <c r="H6" s="71"/>
      <c r="I6" s="20"/>
      <c r="J6" s="20"/>
      <c r="K6" s="20"/>
      <c r="L6" s="20"/>
      <c r="M6" s="20"/>
      <c r="N6" s="20"/>
    </row>
    <row r="7" spans="1:14" ht="21" customHeight="1">
      <c r="A7" s="72"/>
      <c r="B7" s="72"/>
      <c r="C7" s="72"/>
      <c r="D7" s="72"/>
      <c r="E7" s="72"/>
      <c r="F7" s="72"/>
      <c r="G7" s="72"/>
      <c r="H7" s="72"/>
      <c r="I7" s="20"/>
      <c r="J7" s="20"/>
      <c r="K7" s="20"/>
      <c r="L7" s="20"/>
      <c r="M7" s="20"/>
      <c r="N7" s="20"/>
    </row>
    <row r="8" spans="1:14" ht="21" customHeight="1">
      <c r="A8" s="28" t="s">
        <v>276</v>
      </c>
      <c r="B8" s="28"/>
      <c r="C8" s="28"/>
      <c r="D8" s="28"/>
      <c r="E8" s="28"/>
      <c r="F8" s="28"/>
      <c r="G8" s="28"/>
      <c r="I8" s="20"/>
      <c r="J8" s="20"/>
      <c r="K8" s="20"/>
      <c r="L8" s="20"/>
      <c r="M8" s="20"/>
      <c r="N8" s="20"/>
    </row>
    <row r="9" spans="1:14" ht="21" customHeight="1">
      <c r="A9" s="21"/>
      <c r="B9" s="21"/>
      <c r="C9" s="21"/>
      <c r="D9" s="21"/>
      <c r="E9" s="21"/>
      <c r="I9" s="20"/>
      <c r="J9" s="20"/>
      <c r="K9" s="20"/>
      <c r="L9" s="20"/>
      <c r="M9" s="20"/>
      <c r="N9" s="20"/>
    </row>
    <row r="10" spans="1:14" ht="21" customHeight="1">
      <c r="A10" s="1" t="s">
        <v>278</v>
      </c>
      <c r="B10" s="21"/>
      <c r="C10" s="21"/>
      <c r="D10" s="21"/>
      <c r="E10" s="21"/>
      <c r="I10" s="20"/>
      <c r="J10" s="20"/>
      <c r="K10" s="20"/>
      <c r="L10" s="20"/>
      <c r="M10" s="20"/>
      <c r="N10" s="20"/>
    </row>
    <row r="11" spans="1:14" ht="21" customHeight="1">
      <c r="A11" s="25"/>
      <c r="B11" s="21"/>
      <c r="C11" s="21"/>
      <c r="D11" s="21"/>
      <c r="E11" s="21"/>
      <c r="I11" s="20"/>
      <c r="J11" s="20"/>
      <c r="K11" s="20"/>
      <c r="L11" s="20"/>
      <c r="M11" s="20"/>
      <c r="N11" s="20"/>
    </row>
    <row r="12" spans="1:14" ht="21" customHeight="1">
      <c r="A12" s="25"/>
      <c r="B12" s="21"/>
      <c r="C12" s="21"/>
      <c r="D12" s="21"/>
      <c r="E12" s="21"/>
      <c r="I12" s="20"/>
      <c r="J12" s="20"/>
      <c r="K12" s="20"/>
      <c r="L12" s="20"/>
      <c r="M12" s="20"/>
      <c r="N12" s="20"/>
    </row>
    <row r="13" spans="1:14" ht="21" customHeight="1">
      <c r="A13" s="25"/>
      <c r="B13" s="21"/>
      <c r="C13" s="21"/>
      <c r="D13" s="21"/>
      <c r="E13" s="21"/>
      <c r="I13" s="20"/>
      <c r="J13" s="20"/>
      <c r="K13" s="20"/>
      <c r="L13" s="20"/>
      <c r="M13" s="20"/>
      <c r="N13" s="20"/>
    </row>
    <row r="14" spans="1:14" ht="21" customHeight="1">
      <c r="A14" s="25"/>
      <c r="B14" s="21"/>
      <c r="C14" s="21"/>
      <c r="D14" s="21"/>
      <c r="E14" s="21"/>
      <c r="I14" s="20"/>
      <c r="J14" s="20"/>
      <c r="K14" s="20"/>
      <c r="L14" s="20"/>
      <c r="M14" s="20"/>
      <c r="N14" s="20"/>
    </row>
    <row r="15" spans="1:14" ht="21" customHeight="1">
      <c r="A15" s="25"/>
      <c r="B15" s="21"/>
      <c r="C15" s="21"/>
      <c r="D15" s="21"/>
      <c r="E15" s="21"/>
      <c r="I15" s="20"/>
      <c r="J15" s="20"/>
      <c r="K15" s="20"/>
      <c r="L15" s="20"/>
      <c r="M15" s="20"/>
      <c r="N15" s="20"/>
    </row>
    <row r="16" spans="1:14" ht="21" customHeight="1">
      <c r="A16" s="25"/>
      <c r="B16" s="21"/>
      <c r="C16" s="21"/>
      <c r="D16" s="21"/>
      <c r="E16" s="21"/>
      <c r="I16" s="20"/>
      <c r="J16" s="20"/>
      <c r="K16" s="20"/>
      <c r="L16" s="20"/>
      <c r="M16" s="20"/>
      <c r="N16" s="20"/>
    </row>
    <row r="17" spans="1:14" ht="21" customHeight="1">
      <c r="A17" s="25"/>
      <c r="B17" s="21"/>
      <c r="C17" s="21"/>
      <c r="D17" s="21"/>
      <c r="E17" s="21"/>
      <c r="I17" s="20"/>
      <c r="J17" s="20"/>
      <c r="K17" s="20"/>
      <c r="L17" s="20"/>
      <c r="M17" s="20"/>
      <c r="N17" s="20"/>
    </row>
    <row r="18" spans="1:14" ht="21" customHeight="1">
      <c r="A18" s="25"/>
      <c r="B18" s="21"/>
      <c r="C18" s="21"/>
      <c r="D18" s="21"/>
      <c r="E18" s="21"/>
      <c r="I18" s="20"/>
      <c r="J18" s="20"/>
      <c r="K18" s="20"/>
      <c r="L18" s="20"/>
      <c r="M18" s="20"/>
      <c r="N18" s="20"/>
    </row>
    <row r="19" spans="1:14" ht="21" customHeight="1">
      <c r="A19" s="25"/>
      <c r="B19" s="21"/>
      <c r="C19" s="21"/>
      <c r="D19" s="21"/>
      <c r="E19" s="21"/>
      <c r="I19" s="20"/>
      <c r="J19" s="20"/>
      <c r="K19" s="20"/>
      <c r="L19" s="20"/>
      <c r="M19" s="20"/>
      <c r="N19" s="20"/>
    </row>
    <row r="20" spans="1:14" ht="21" customHeight="1">
      <c r="A20" s="25"/>
      <c r="B20" s="21"/>
      <c r="C20" s="21"/>
      <c r="D20" s="21"/>
      <c r="E20" s="21"/>
      <c r="I20" s="20"/>
      <c r="J20" s="20"/>
      <c r="K20" s="20"/>
      <c r="L20" s="20"/>
      <c r="M20" s="20"/>
      <c r="N20" s="20"/>
    </row>
    <row r="21" spans="1:14" ht="21" customHeight="1">
      <c r="A21" s="25"/>
      <c r="B21" s="21"/>
      <c r="C21" s="21"/>
      <c r="D21" s="21"/>
      <c r="E21" s="21"/>
      <c r="I21" s="20"/>
      <c r="J21" s="20"/>
      <c r="K21" s="20"/>
    </row>
    <row r="22" spans="1:14" ht="21" customHeight="1">
      <c r="A22" s="25"/>
      <c r="E22" s="21"/>
      <c r="I22" s="20"/>
      <c r="J22" s="20"/>
      <c r="K22" s="20"/>
    </row>
    <row r="23" spans="1:14" ht="21" customHeight="1">
      <c r="A23" s="25"/>
      <c r="E23" s="21"/>
      <c r="I23" s="20"/>
      <c r="J23" s="20"/>
      <c r="K23" s="20"/>
    </row>
    <row r="24" spans="1:14" ht="21" customHeight="1">
      <c r="A24" s="25"/>
      <c r="E24" s="21"/>
      <c r="F24" s="21"/>
      <c r="G24" s="21"/>
      <c r="H24" s="21"/>
      <c r="I24" s="20"/>
      <c r="J24" s="20"/>
      <c r="K24" s="20"/>
    </row>
    <row r="25" spans="1:14" ht="21" customHeight="1">
      <c r="A25" s="25"/>
      <c r="E25" s="21"/>
      <c r="F25" s="21"/>
      <c r="G25" s="21"/>
      <c r="H25" s="21"/>
      <c r="I25" s="20"/>
      <c r="J25" s="20"/>
      <c r="K25" s="20"/>
    </row>
    <row r="26" spans="1:14" ht="21" customHeight="1">
      <c r="A26" s="25"/>
      <c r="E26" s="21"/>
      <c r="I26" s="20"/>
      <c r="J26" s="20"/>
      <c r="K26" s="20"/>
      <c r="L26" s="20"/>
      <c r="M26" s="20"/>
      <c r="N26" s="20"/>
    </row>
    <row r="27" spans="1:14" ht="33.950000000000003" customHeight="1">
      <c r="A27" s="28" t="s">
        <v>277</v>
      </c>
      <c r="B27" s="28"/>
      <c r="C27" s="28"/>
      <c r="D27" s="28"/>
      <c r="E27" s="28"/>
      <c r="F27" s="28"/>
      <c r="G27" s="28"/>
      <c r="I27" s="20"/>
      <c r="J27" s="20"/>
      <c r="K27" s="20"/>
      <c r="L27" s="20"/>
      <c r="M27" s="20"/>
      <c r="N27" s="20"/>
    </row>
    <row r="28" spans="1:14" ht="33.950000000000003" customHeight="1">
      <c r="A28" s="21"/>
      <c r="B28" s="21"/>
      <c r="C28" s="21"/>
      <c r="D28" s="21"/>
      <c r="E28" s="21"/>
      <c r="F28" s="21"/>
      <c r="G28" s="21"/>
      <c r="I28" s="20"/>
      <c r="J28" s="20"/>
      <c r="K28" s="20"/>
      <c r="L28" s="20"/>
      <c r="M28" s="20"/>
      <c r="N28" s="20"/>
    </row>
    <row r="29" spans="1:14" ht="33.950000000000003" customHeight="1">
      <c r="A29" s="5" t="s">
        <v>50</v>
      </c>
      <c r="B29" s="5" t="s">
        <v>51</v>
      </c>
      <c r="C29" s="5" t="s">
        <v>53</v>
      </c>
      <c r="D29" s="21"/>
      <c r="E29" s="21"/>
      <c r="F29" s="21"/>
      <c r="G29" s="21"/>
      <c r="I29" s="20"/>
      <c r="J29" s="20"/>
      <c r="K29" s="20"/>
      <c r="L29" s="20"/>
      <c r="M29" s="20"/>
      <c r="N29" s="20"/>
    </row>
    <row r="30" spans="1:14" ht="33.950000000000003" customHeight="1">
      <c r="A30" s="8"/>
      <c r="B30" s="8"/>
      <c r="C30" s="8"/>
      <c r="D30" s="21"/>
      <c r="E30" s="21"/>
      <c r="F30" s="73" t="s">
        <v>53</v>
      </c>
      <c r="G30" s="74" t="s">
        <v>62</v>
      </c>
      <c r="I30" s="20"/>
    </row>
    <row r="31" spans="1:14" ht="21" customHeight="1">
      <c r="A31" s="8"/>
      <c r="B31" s="8"/>
      <c r="C31" s="8"/>
      <c r="D31" s="21"/>
      <c r="E31" s="21"/>
      <c r="F31" s="73" t="s">
        <v>52</v>
      </c>
      <c r="G31" s="74" t="s">
        <v>91</v>
      </c>
      <c r="H31" s="21"/>
      <c r="I31" s="20"/>
    </row>
    <row r="32" spans="1:14" ht="21" customHeight="1">
      <c r="A32" s="8"/>
      <c r="B32" s="8"/>
      <c r="C32" s="8"/>
      <c r="D32" s="21"/>
      <c r="E32" s="21"/>
      <c r="F32" s="73" t="s">
        <v>57</v>
      </c>
      <c r="G32" s="74" t="s">
        <v>66</v>
      </c>
      <c r="I32" s="20"/>
    </row>
    <row r="33" spans="1:14" ht="21" customHeight="1">
      <c r="A33" s="8"/>
      <c r="B33" s="8"/>
      <c r="C33" s="8"/>
      <c r="D33" s="21"/>
      <c r="E33" s="21"/>
      <c r="F33" s="73" t="s">
        <v>54</v>
      </c>
      <c r="G33" s="74" t="s">
        <v>75</v>
      </c>
      <c r="I33" s="20"/>
    </row>
    <row r="34" spans="1:14" ht="21" customHeight="1">
      <c r="A34" s="8"/>
      <c r="B34" s="8"/>
      <c r="C34" s="8"/>
      <c r="D34" s="21"/>
      <c r="E34" s="21"/>
      <c r="F34" s="73" t="s">
        <v>284</v>
      </c>
      <c r="G34" s="75">
        <v>30</v>
      </c>
      <c r="I34" s="20"/>
    </row>
    <row r="35" spans="1:14" ht="21" customHeight="1">
      <c r="A35" s="8"/>
      <c r="B35" s="8"/>
      <c r="C35" s="8"/>
      <c r="D35" s="21"/>
      <c r="E35" s="21"/>
      <c r="F35" s="21"/>
      <c r="G35" s="21"/>
      <c r="I35" s="20"/>
    </row>
    <row r="36" spans="1:14" ht="21" customHeight="1">
      <c r="A36" s="8"/>
      <c r="B36" s="8"/>
      <c r="C36" s="8"/>
      <c r="D36" s="21"/>
      <c r="E36" s="21"/>
      <c r="F36" s="21"/>
      <c r="G36" s="21"/>
      <c r="I36" s="20"/>
    </row>
    <row r="37" spans="1:14" ht="21" customHeight="1">
      <c r="A37" s="8"/>
      <c r="B37" s="8"/>
      <c r="C37" s="8"/>
      <c r="D37" s="21"/>
      <c r="E37" s="21"/>
      <c r="F37" s="21"/>
      <c r="G37" s="21"/>
      <c r="I37" s="20"/>
      <c r="J37" s="20"/>
      <c r="K37" s="20"/>
      <c r="L37" s="20"/>
      <c r="M37" s="20"/>
      <c r="N37" s="20"/>
    </row>
    <row r="38" spans="1:14" ht="21" customHeight="1">
      <c r="A38" s="8"/>
      <c r="B38" s="8"/>
      <c r="C38" s="8"/>
      <c r="D38" s="21"/>
      <c r="E38" s="21"/>
      <c r="F38" s="21"/>
      <c r="G38" s="21"/>
      <c r="I38" s="20"/>
      <c r="J38" s="20"/>
      <c r="K38" s="20"/>
      <c r="L38" s="20"/>
      <c r="M38" s="20"/>
      <c r="N38" s="20"/>
    </row>
    <row r="39" spans="1:14" ht="21" customHeight="1">
      <c r="A39" s="8"/>
      <c r="B39" s="8"/>
      <c r="C39" s="8"/>
      <c r="D39" s="21"/>
      <c r="E39" s="21"/>
      <c r="F39" s="21"/>
      <c r="G39" s="21"/>
      <c r="H39" s="21"/>
      <c r="I39" s="20"/>
      <c r="J39" s="20"/>
      <c r="K39" s="20"/>
      <c r="L39" s="20"/>
      <c r="M39" s="20"/>
      <c r="N39" s="20"/>
    </row>
    <row r="40" spans="1:14" ht="21" customHeight="1">
      <c r="A40" s="8"/>
      <c r="B40" s="8"/>
      <c r="C40" s="8"/>
      <c r="D40" s="21"/>
      <c r="E40" s="21"/>
      <c r="F40" s="21"/>
      <c r="G40" s="21"/>
      <c r="H40" s="21"/>
      <c r="I40" s="20"/>
      <c r="J40" s="20"/>
      <c r="K40" s="20"/>
      <c r="L40" s="20"/>
      <c r="M40" s="20"/>
      <c r="N40" s="20"/>
    </row>
    <row r="41" spans="1:14" ht="21" customHeight="1">
      <c r="A41" s="17"/>
      <c r="B41" s="17"/>
      <c r="C41" s="17"/>
      <c r="D41" s="21"/>
      <c r="E41" s="21"/>
      <c r="F41" s="21"/>
      <c r="G41" s="21"/>
      <c r="H41" s="21"/>
      <c r="I41" s="20"/>
      <c r="J41" s="20"/>
      <c r="K41" s="20"/>
      <c r="L41" s="20"/>
      <c r="M41" s="20"/>
      <c r="N41" s="20"/>
    </row>
    <row r="42" spans="1:14" ht="21" customHeight="1">
      <c r="A42" s="21"/>
      <c r="B42" s="21"/>
      <c r="C42" s="21"/>
      <c r="D42" s="21"/>
      <c r="E42" s="21"/>
      <c r="F42" s="21"/>
      <c r="G42" s="21"/>
      <c r="H42" s="21"/>
      <c r="I42" s="20"/>
      <c r="J42" s="20"/>
      <c r="K42" s="20"/>
      <c r="L42" s="20"/>
      <c r="M42" s="20"/>
      <c r="N42" s="20"/>
    </row>
    <row r="43" spans="1:14" ht="21" customHeight="1">
      <c r="A43" s="21"/>
      <c r="B43" s="21"/>
      <c r="C43" s="21"/>
      <c r="D43" s="21"/>
      <c r="E43" s="21"/>
      <c r="F43" s="21"/>
      <c r="G43" s="21"/>
      <c r="H43" s="21"/>
      <c r="I43" s="20"/>
      <c r="J43" s="20"/>
      <c r="K43" s="20"/>
      <c r="L43" s="20"/>
      <c r="M43" s="20"/>
      <c r="N43" s="20"/>
    </row>
    <row r="44" spans="1:14" ht="21" customHeight="1">
      <c r="A44" s="21"/>
      <c r="B44" s="21"/>
      <c r="C44" s="21"/>
      <c r="D44" s="21"/>
      <c r="E44" s="21"/>
      <c r="F44" s="21"/>
      <c r="G44" s="21"/>
      <c r="H44" s="21"/>
      <c r="I44" s="20"/>
      <c r="J44" s="20"/>
      <c r="K44" s="20"/>
      <c r="L44" s="20"/>
      <c r="M44" s="20"/>
      <c r="N44" s="20"/>
    </row>
    <row r="45" spans="1:14">
      <c r="A45" s="5" t="s">
        <v>279</v>
      </c>
      <c r="B45" s="5" t="s">
        <v>280</v>
      </c>
      <c r="C45" s="5" t="s">
        <v>281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33.75" customHeight="1">
      <c r="A46" s="68" t="s">
        <v>282</v>
      </c>
      <c r="B46" s="14"/>
      <c r="C46" s="4" t="s">
        <v>283</v>
      </c>
      <c r="D46" s="20"/>
      <c r="E46" s="20"/>
      <c r="F46" s="10" t="str">
        <f t="shared" ref="F46:G50" si="0">F30</f>
        <v>Region</v>
      </c>
      <c r="G46" s="8" t="str">
        <f t="shared" si="0"/>
        <v>Amman</v>
      </c>
      <c r="H46" s="20"/>
      <c r="I46" s="20"/>
      <c r="J46" s="20"/>
      <c r="K46" s="20"/>
      <c r="L46" s="20"/>
      <c r="M46" s="20"/>
      <c r="N46" s="20"/>
    </row>
    <row r="47" spans="1:14" ht="33.75" customHeight="1">
      <c r="A47" s="68" t="s">
        <v>285</v>
      </c>
      <c r="B47" s="14"/>
      <c r="C47" s="4" t="s">
        <v>286</v>
      </c>
      <c r="D47" s="20"/>
      <c r="E47" s="20"/>
      <c r="F47" s="10" t="str">
        <f t="shared" si="0"/>
        <v>Segment</v>
      </c>
      <c r="G47" s="8" t="str">
        <f t="shared" si="0"/>
        <v>Corporate</v>
      </c>
      <c r="H47" s="20"/>
      <c r="I47" s="20"/>
      <c r="J47" s="20"/>
      <c r="K47" s="20"/>
      <c r="L47" s="20"/>
      <c r="M47" s="20"/>
      <c r="N47" s="20"/>
    </row>
    <row r="48" spans="1:14" ht="33.75" customHeight="1">
      <c r="A48" s="68" t="s">
        <v>287</v>
      </c>
      <c r="B48" s="14"/>
      <c r="C48" s="4" t="s">
        <v>288</v>
      </c>
      <c r="D48" s="20"/>
      <c r="E48" s="20"/>
      <c r="F48" s="10" t="str">
        <f t="shared" si="0"/>
        <v>Account Status</v>
      </c>
      <c r="G48" s="8" t="str">
        <f t="shared" si="0"/>
        <v>Active</v>
      </c>
      <c r="H48" s="20"/>
      <c r="I48" s="20"/>
      <c r="J48" s="20"/>
      <c r="K48" s="20"/>
      <c r="L48" s="20"/>
      <c r="M48" s="20"/>
      <c r="N48" s="20"/>
    </row>
    <row r="49" spans="1:14" ht="33.75" customHeight="1">
      <c r="A49" s="68" t="s">
        <v>289</v>
      </c>
      <c r="B49" s="14"/>
      <c r="C49" s="4" t="s">
        <v>286</v>
      </c>
      <c r="D49" s="20"/>
      <c r="E49" s="20"/>
      <c r="F49" s="10" t="str">
        <f t="shared" si="0"/>
        <v>Service</v>
      </c>
      <c r="G49" s="8" t="str">
        <f t="shared" si="0"/>
        <v>Fiber</v>
      </c>
      <c r="H49" s="20"/>
      <c r="I49" s="20"/>
      <c r="J49" s="20"/>
      <c r="K49" s="20"/>
      <c r="L49" s="20"/>
      <c r="M49" s="20"/>
      <c r="N49" s="20"/>
    </row>
    <row r="50" spans="1:14">
      <c r="A50" s="20"/>
      <c r="B50" s="20"/>
      <c r="C50" s="20"/>
      <c r="D50" s="20"/>
      <c r="E50" s="20"/>
      <c r="F50" s="10" t="str">
        <f t="shared" si="0"/>
        <v>Minimum Monthly Fee</v>
      </c>
      <c r="G50" s="15">
        <f t="shared" si="0"/>
        <v>30</v>
      </c>
      <c r="H50" s="20"/>
      <c r="I50" s="20"/>
      <c r="J50" s="20"/>
      <c r="K50" s="20"/>
      <c r="L50" s="20"/>
      <c r="M50" s="20"/>
      <c r="N50" s="20"/>
    </row>
    <row r="51" spans="1:14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>
      <c r="A54" s="49" t="s">
        <v>290</v>
      </c>
      <c r="B54" s="49"/>
      <c r="C54" s="49"/>
      <c r="D54" s="49"/>
      <c r="E54" s="49"/>
      <c r="F54" s="49"/>
      <c r="G54" s="49"/>
      <c r="H54" s="49"/>
      <c r="I54" s="20"/>
      <c r="J54" s="20"/>
      <c r="K54" s="20"/>
      <c r="L54" s="20"/>
      <c r="M54" s="20"/>
      <c r="N54" s="20"/>
    </row>
    <row r="55" spans="1:14">
      <c r="A55" s="50"/>
      <c r="B55" s="50"/>
      <c r="C55" s="50"/>
      <c r="D55" s="50"/>
      <c r="E55" s="50"/>
      <c r="F55" s="50"/>
      <c r="G55" s="50"/>
      <c r="H55" s="50"/>
      <c r="I55" s="20"/>
      <c r="J55" s="20"/>
      <c r="K55" s="20"/>
      <c r="L55" s="20"/>
      <c r="M55" s="20"/>
      <c r="N55" s="20"/>
    </row>
    <row r="56" spans="1:14">
      <c r="A56" s="21"/>
      <c r="B56" s="21"/>
      <c r="C56" s="21"/>
      <c r="D56" s="21"/>
      <c r="E56" s="21"/>
      <c r="F56" s="21"/>
      <c r="G56" s="21"/>
      <c r="H56" s="21"/>
      <c r="I56" s="20"/>
      <c r="J56" s="20"/>
      <c r="K56" s="20"/>
      <c r="L56" s="20"/>
      <c r="M56" s="20"/>
      <c r="N56" s="20"/>
    </row>
  </sheetData>
  <mergeCells count="7">
    <mergeCell ref="A54:H55"/>
    <mergeCell ref="A8:G8"/>
    <mergeCell ref="A1:G1"/>
    <mergeCell ref="A2:H2"/>
    <mergeCell ref="A6:H6"/>
    <mergeCell ref="A4:H5"/>
    <mergeCell ref="A27:G27"/>
  </mergeCells>
  <dataValidations count="4">
    <dataValidation type="list" sqref="G30" xr:uid="{00000000-0002-0000-0600-000000000000}">
      <formula1>"Amman,Zarqa,Irbid,Aqaba,Balqa"</formula1>
    </dataValidation>
    <dataValidation type="list" sqref="G31" xr:uid="{00000000-0002-0000-0600-000001000000}">
      <formula1>"Consumer,SME,Corporate"</formula1>
    </dataValidation>
    <dataValidation type="list" sqref="G32" xr:uid="{00000000-0002-0000-0600-000002000000}">
      <formula1>"Active,Suspended,Pending"</formula1>
    </dataValidation>
    <dataValidation type="list" sqref="G33" xr:uid="{00000000-0002-0000-0600-000003000000}">
      <formula1>"Fiber,Mobile,5G Home,Enterprise Data"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00_COVER</vt:lpstr>
      <vt:lpstr>01_ASSIGNMENT_BRIEF</vt:lpstr>
      <vt:lpstr>02_CUSTOMER_MASTER</vt:lpstr>
      <vt:lpstr>03_WORKSPACE_A</vt:lpstr>
      <vt:lpstr>04_WORKSPACE_B</vt:lpstr>
      <vt:lpstr>05_MANAGEMENT_CONSOLE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Basel M Ghanem</cp:lastModifiedBy>
  <dcterms:modified xsi:type="dcterms:W3CDTF">2026-09-06T13:39:04Z</dcterms:modified>
</cp:coreProperties>
</file>