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634009d6f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MMAND_CENTER" sheetId="1" r:id="Rdebc16db56b74b70"/>
    <x:sheet xmlns:r="http://schemas.openxmlformats.org/officeDocument/2006/relationships" name="01_ATTENDANCE" sheetId="2" r:id="R750ecc8b0bb24832"/>
    <x:sheet xmlns:r="http://schemas.openxmlformats.org/officeDocument/2006/relationships" name="02_DAY1_RUN_SHEET" sheetId="3" r:id="Rb693de9cba984ec1"/>
    <x:sheet xmlns:r="http://schemas.openxmlformats.org/officeDocument/2006/relationships" name="03_FILE_CONTROL" sheetId="4" r:id="Rddf42f6a9dff4853"/>
    <x:sheet xmlns:r="http://schemas.openxmlformats.org/officeDocument/2006/relationships" name="04_PARTICIPANT_NOTES" sheetId="5" r:id="R41ac651a28a94e5e"/>
    <x:sheet xmlns:r="http://schemas.openxmlformats.org/officeDocument/2006/relationships" name="05_ADMIN_CHECKLIST" sheetId="6" r:id="Rdd802dda875f44ed"/>
    <x:sheet xmlns:r="http://schemas.openxmlformats.org/officeDocument/2006/relationships" name="06_DAY1_CLOSEOUT" sheetId="7" r:id="R2a6167e3d3bf46f8"/>
    <x:sheet xmlns:r="http://schemas.openxmlformats.org/officeDocument/2006/relationships" name="07_DAY2_RUN_SHEET" sheetId="8" r:id="R97aa53ca771d4b52"/>
    <x:sheet xmlns:r="http://schemas.openxmlformats.org/officeDocument/2006/relationships" name="08_DAY2_FILE_CONTROL" sheetId="9" r:id="R2138a65aefc34e7a"/>
    <x:sheet xmlns:r="http://schemas.openxmlformats.org/officeDocument/2006/relationships" name="09_DAY2_CLOSEOUT" sheetId="10" r:id="Raf71baed6585424e"/>
    <x:sheet xmlns:r="http://schemas.openxmlformats.org/officeDocument/2006/relationships" name="10_DAY3_RUN_SHEET" sheetId="11" r:id="R2a8313024a6d463f"/>
    <x:sheet xmlns:r="http://schemas.openxmlformats.org/officeDocument/2006/relationships" name="11_DAY3_FILE_CONTROL" sheetId="12" r:id="Reb19c70054fa4682"/>
    <x:sheet xmlns:r="http://schemas.openxmlformats.org/officeDocument/2006/relationships" name="12_COURSE_CLOSEOUT" sheetId="13" r:id="Re7ad794aca4f4abb"/>
    <x:sheet xmlns:r="http://schemas.openxmlformats.org/officeDocument/2006/relationships" name="13_POST_COURSE_REPORT" sheetId="14" r:id="R950bcff9729a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31">
    <x:font>
      <x:sz val="11"/>
      <x:name val="Carlito"/>
    </x:font>
    <x:font>
      <x:sz val="10"/>
      <x:color rgb="FF25313B"/>
      <x:name val="Aptos"/>
    </x:font>
    <x:font>
      <x:b/>
      <x:sz val="20"/>
      <x:color rgb="FFFFFFFF"/>
      <x:name val="Aptos"/>
    </x:font>
    <x:font>
      <x:b/>
      <x:sz val="10"/>
      <x:color rgb="FFFF7900"/>
      <x:name val="Arial"/>
    </x:font>
    <x:font>
      <x:b/>
      <x:sz val="10"/>
      <x:color rgb="FF25313B"/>
      <x:name val="Aptos"/>
    </x:font>
    <x:font>
      <x:b/>
      <x:sz val="9"/>
      <x:color rgb="FFFFFFFF"/>
      <x:name val="Aptos"/>
    </x:font>
    <x:font>
      <x:b/>
      <x:sz val="18"/>
      <x:color rgb="FF147EEA"/>
      <x:name val="Aptos"/>
    </x:font>
    <x:font>
      <x:b/>
      <x:sz val="18"/>
      <x:color rgb="FF50BE87"/>
      <x:name val="Aptos"/>
    </x:font>
    <x:font>
      <x:b/>
      <x:sz val="18"/>
      <x:color rgb="FFFF7900"/>
      <x:name val="Aptos"/>
    </x:font>
    <x:font>
      <x:b/>
      <x:sz val="18"/>
      <x:color rgb="FFA885D8"/>
      <x:name val="Aptos"/>
    </x:font>
    <x:font>
      <x:b/>
      <x:sz val="10"/>
      <x:color rgb="FFFFFFFF"/>
      <x:name val="Aptos"/>
    </x:font>
    <x:font>
      <x:b/>
      <x:sz val="9"/>
      <x:color rgb="FFFF7900"/>
      <x:name val="Arial"/>
    </x:font>
    <x:font>
      <x:b/>
      <x:sz val="17"/>
      <x:color rgb="FFFFFFFF"/>
      <x:name val="Aptos"/>
    </x:font>
    <x:font>
      <x:b/>
      <x:sz val="9"/>
      <x:color rgb="FF147EEA"/>
      <x:name val="Aptos"/>
    </x:font>
    <x:font>
      <x:sz val="9"/>
      <x:color rgb="FF25313B"/>
      <x:name val="Aptos"/>
    </x:font>
    <x:font>
      <x:b/>
      <x:sz val="10"/>
      <x:color rgb="FF50BE87"/>
      <x:name val="Aptos"/>
    </x:font>
    <x:font>
      <x:b/>
      <x:sz val="12"/>
      <x:color rgb="FF50BE87"/>
      <x:name val="Aptos"/>
    </x:font>
    <x:font>
      <x:b/>
      <x:sz val="12"/>
      <x:color rgb="FFB42318"/>
      <x:name val="Aptos"/>
    </x:font>
    <x:font>
      <x:b/>
      <x:sz val="12"/>
      <x:color rgb="FF147EEA"/>
      <x:name val="Aptos"/>
    </x:font>
    <x:font>
      <x:b/>
      <x:sz val="13"/>
      <x:color rgb="FF50BE87"/>
      <x:name val="Aptos"/>
    </x:font>
    <x:font>
      <x:b/>
      <x:sz val="13"/>
      <x:color rgb="FF147EEA"/>
      <x:name val="Aptos"/>
    </x:font>
    <x:font>
      <x:b/>
      <x:sz val="10"/>
      <x:color rgb="FFA885D8"/>
      <x:name val="Aptos"/>
    </x:font>
    <x:font>
      <x:b/>
      <x:sz val="18"/>
      <x:color rgb="FFFFFFFF"/>
      <x:name val="Aptos"/>
    </x:font>
    <x:font>
      <x:b/>
      <x:sz val="10"/>
      <x:color rgb="FF147EEA"/>
      <x:name val="Aptos"/>
    </x:font>
    <x:font>
      <x:b/>
      <x:sz val="14"/>
      <x:color rgb="FF50BE87"/>
      <x:name val="Aptos"/>
    </x:font>
    <x:font>
      <x:b/>
      <x:sz val="14"/>
      <x:color rgb="FF147EEA"/>
      <x:name val="Aptos"/>
    </x:font>
    <x:font>
      <x:b/>
      <x:sz val="12"/>
      <x:color rgb="FFFF7900"/>
      <x:name val="Arial"/>
    </x:font>
    <x:font>
      <x:b/>
      <x:sz val="9"/>
      <x:color rgb="FF25313B"/>
      <x:name val="Arial"/>
    </x:font>
    <x:font>
      <x:b/>
      <x:sz val="12"/>
      <x:color rgb="FFFFFFFF"/>
      <x:name val="Aptos"/>
    </x:font>
    <x:font>
      <x:b/>
      <x:sz val="10"/>
      <x:color rgb="FF50BE87"/>
      <x:name val="Arial"/>
    </x:font>
    <x:font>
      <x:b/>
      <x:sz val="9"/>
      <x:color rgb="FFFF7900"/>
      <x:name val="Aptos"/>
    </x:font>
  </x:fonts>
  <x:fills count="2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FAFBFC"/>
      </x:patternFill>
    </x:fill>
    <x:fill>
      <x:patternFill patternType="solid">
        <x:fgColor rgb="FFEAF8F1"/>
      </x:patternFill>
    </x:fill>
    <x:fill>
      <x:patternFill patternType="solid">
        <x:fgColor rgb="FF50BE87"/>
      </x:patternFill>
    </x:fill>
    <x:fill>
      <x:patternFill patternType="solid">
        <x:fgColor rgb="FFFF7900"/>
      </x:patternFill>
    </x:fill>
    <x:fill>
      <x:patternFill patternType="solid">
        <x:fgColor rgb="FFA885D8"/>
      </x:patternFill>
    </x:fill>
    <x:fill>
      <x:patternFill patternType="solid">
        <x:fgColor rgb="FFFFF7CC"/>
      </x:patternFill>
    </x:fill>
    <x:fill>
      <x:patternFill patternType="solid">
        <x:fgColor rgb="FFFDECEC"/>
      </x:patternFill>
    </x:fill>
    <x:fill>
      <x:patternFill patternType="solid">
        <x:fgColor rgb="FFFFFFFF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FF7CC"/>
      </x:patternFill>
    </x:fill>
    <x:fill>
      <x:patternFill patternType="solid">
        <x:fgColor rgb="FFFAFBFC"/>
      </x:patternFill>
    </x:fill>
    <x:fill>
      <x:patternFill patternType="solid">
        <x:fgColor rgb="FFF3EFFB"/>
      </x:patternFill>
    </x:fill>
    <x:fill>
      <x:patternFill patternType="solid">
        <x:fgColor rgb="FF50BE87"/>
      </x:patternFill>
    </x:fill>
    <x:fill>
      <x:patternFill patternType="solid">
        <x:fgColor rgb="FFFFFFFF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FF7CC"/>
      </x:patternFill>
    </x:fill>
  </x:fills>
  <x:borders count="4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right"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/>
    </x:xf>
    <x:xf numFmtId="0" fontId="6" fillId="2" borderId="6" xfId="0" applyNumberFormat="1" applyFont="1" applyFill="1" applyBorder="1" applyAlignment="1">
      <x:alignment vertical="center"/>
    </x:xf>
    <x:xf numFmtId="0" fontId="6" fillId="2" borderId="7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0" fontId="6" fillId="2" borderId="5" xfId="0" applyNumberFormat="1" applyFont="1" applyFill="1" applyBorder="1" applyAlignment="1">
      <x:alignment horizontal="center" vertical="center"/>
    </x:xf>
    <x:xf numFmtId="0" fontId="6" fillId="2" borderId="6" xfId="0" applyNumberFormat="1" applyFont="1" applyFill="1" applyBorder="1" applyAlignment="1">
      <x:alignment horizontal="center" vertical="center"/>
    </x:xf>
    <x:xf numFmtId="0" fontId="6" fillId="2" borderId="7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8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/>
    </x:xf>
    <x:xf numFmtId="0" fontId="6" fillId="2" borderId="10" xfId="0" applyNumberFormat="1" applyFont="1" applyFill="1" applyBorder="1" applyAlignment="1">
      <x:alignment vertical="center"/>
    </x:xf>
    <x:xf numFmtId="0" fontId="6" fillId="2" borderId="11" xfId="0" applyNumberFormat="1" applyFont="1" applyFill="1" applyBorder="1" applyAlignment="1">
      <x:alignment vertical="center"/>
    </x:xf>
    <x:xf numFmtId="0" fontId="6" fillId="2" borderId="12" xfId="0" applyNumberFormat="1" applyFont="1" applyFill="1" applyBorder="1" applyAlignment="1">
      <x:alignment vertical="center"/>
    </x:xf>
    <x:xf numFmtId="0" fontId="6" fillId="2" borderId="13" xfId="0" applyNumberFormat="1" applyFont="1" applyFill="1" applyBorder="1" applyAlignment="1">
      <x:alignment vertical="center"/>
    </x:xf>
    <x:xf numFmtId="0" fontId="6" fillId="2" borderId="8" xfId="0" applyNumberFormat="1" applyFont="1" applyFill="1" applyBorder="1" applyAlignment="1">
      <x:alignment horizontal="center" vertical="center"/>
    </x:xf>
    <x:xf numFmtId="0" fontId="6" fillId="2" borderId="9" xfId="0" applyNumberFormat="1" applyFont="1" applyFill="1" applyBorder="1" applyAlignment="1">
      <x:alignment horizontal="center" vertical="center"/>
    </x:xf>
    <x:xf numFmtId="0" fontId="6" fillId="2" borderId="10" xfId="0" applyNumberFormat="1" applyFont="1" applyFill="1" applyBorder="1" applyAlignment="1">
      <x:alignment horizontal="center" vertical="center"/>
    </x:xf>
    <x:xf numFmtId="0" fontId="6" fillId="2" borderId="11" xfId="0" applyNumberFormat="1" applyFont="1" applyFill="1" applyBorder="1" applyAlignment="1">
      <x:alignment horizontal="center" vertical="center"/>
    </x:xf>
    <x:xf numFmtId="0" fontId="6" fillId="2" borderId="12" xfId="0" applyNumberFormat="1" applyFont="1" applyFill="1" applyBorder="1" applyAlignment="1">
      <x:alignment horizontal="center" vertical="center"/>
    </x:xf>
    <x:xf numFmtId="0" fontId="6" fillId="2" borderId="13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vertical="center"/>
    </x:xf>
    <x:xf numFmtId="0" fontId="5" fillId="9" borderId="1" xfId="0" applyNumberFormat="1" applyFont="1" applyFill="1" applyBorder="1" applyAlignment="1">
      <x:alignment vertical="center"/>
    </x:xf>
    <x:xf numFmtId="0" fontId="5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7" fillId="2" borderId="3" xfId="0" applyNumberFormat="1" applyFont="1" applyFill="1" applyBorder="1" applyAlignment="1">
      <x:alignment vertical="center"/>
    </x:xf>
    <x:xf numFmtId="0" fontId="7" fillId="2" borderId="4" xfId="0" applyNumberFormat="1" applyFont="1" applyFill="1" applyBorder="1" applyAlignment="1">
      <x:alignment vertical="center"/>
    </x:xf>
    <x:xf numFmtId="0" fontId="7" fillId="2" borderId="5" xfId="0" applyNumberFormat="1" applyFont="1" applyFill="1" applyBorder="1" applyAlignment="1">
      <x:alignment vertical="center"/>
    </x:xf>
    <x:xf numFmtId="0" fontId="7" fillId="2" borderId="6" xfId="0" applyNumberFormat="1" applyFont="1" applyFill="1" applyBorder="1" applyAlignment="1">
      <x:alignment vertical="center"/>
    </x:xf>
    <x:xf numFmtId="0" fontId="7" fillId="2" borderId="7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  <x:xf numFmtId="0" fontId="7" fillId="2" borderId="4" xfId="0" applyNumberFormat="1" applyFont="1" applyFill="1" applyBorder="1" applyAlignment="1">
      <x:alignment horizontal="center" vertical="center"/>
    </x:xf>
    <x:xf numFmtId="0" fontId="7" fillId="2" borderId="5" xfId="0" applyNumberFormat="1" applyFont="1" applyFill="1" applyBorder="1" applyAlignment="1">
      <x:alignment horizontal="center" vertical="center"/>
    </x:xf>
    <x:xf numFmtId="0" fontId="7" fillId="2" borderId="6" xfId="0" applyNumberFormat="1" applyFont="1" applyFill="1" applyBorder="1" applyAlignment="1">
      <x:alignment horizontal="center" vertical="center"/>
    </x:xf>
    <x:xf numFmtId="0" fontId="7" fillId="2" borderId="7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vertical="center"/>
    </x:xf>
    <x:xf numFmtId="0" fontId="7" fillId="2" borderId="8" xfId="0" applyNumberFormat="1" applyFont="1" applyFill="1" applyBorder="1" applyAlignment="1">
      <x:alignment vertical="center"/>
    </x:xf>
    <x:xf numFmtId="0" fontId="7" fillId="2" borderId="9" xfId="0" applyNumberFormat="1" applyFont="1" applyFill="1" applyBorder="1" applyAlignment="1">
      <x:alignment vertical="center"/>
    </x:xf>
    <x:xf numFmtId="0" fontId="7" fillId="2" borderId="10" xfId="0" applyNumberFormat="1" applyFont="1" applyFill="1" applyBorder="1" applyAlignment="1">
      <x:alignment vertical="center"/>
    </x:xf>
    <x:xf numFmtId="0" fontId="7" fillId="2" borderId="11" xfId="0" applyNumberFormat="1" applyFont="1" applyFill="1" applyBorder="1" applyAlignment="1">
      <x:alignment vertical="center"/>
    </x:xf>
    <x:xf numFmtId="0" fontId="7" fillId="2" borderId="12" xfId="0" applyNumberFormat="1" applyFont="1" applyFill="1" applyBorder="1" applyAlignment="1">
      <x:alignment vertical="center"/>
    </x:xf>
    <x:xf numFmtId="0" fontId="7" fillId="2" borderId="13" xfId="0" applyNumberFormat="1" applyFont="1" applyFill="1" applyBorder="1" applyAlignment="1">
      <x:alignment vertical="center"/>
    </x:xf>
    <x:xf numFmtId="0" fontId="7" fillId="2" borderId="8" xfId="0" applyNumberFormat="1" applyFont="1" applyFill="1" applyBorder="1" applyAlignment="1">
      <x:alignment horizontal="center" vertical="center"/>
    </x:xf>
    <x:xf numFmtId="0" fontId="7" fillId="2" borderId="9" xfId="0" applyNumberFormat="1" applyFont="1" applyFill="1" applyBorder="1" applyAlignment="1">
      <x:alignment horizontal="center" vertical="center"/>
    </x:xf>
    <x:xf numFmtId="0" fontId="7" fillId="2" borderId="10" xfId="0" applyNumberFormat="1" applyFont="1" applyFill="1" applyBorder="1" applyAlignment="1">
      <x:alignment horizontal="center" vertical="center"/>
    </x:xf>
    <x:xf numFmtId="0" fontId="7" fillId="2" borderId="11" xfId="0" applyNumberFormat="1" applyFont="1" applyFill="1" applyBorder="1" applyAlignment="1">
      <x:alignment horizontal="center" vertical="center"/>
    </x:xf>
    <x:xf numFmtId="0" fontId="7" fillId="2" borderId="12" xfId="0" applyNumberFormat="1" applyFont="1" applyFill="1" applyBorder="1" applyAlignment="1">
      <x:alignment horizontal="center" vertical="center"/>
    </x:xf>
    <x:xf numFmtId="0" fontId="7" fillId="2" borderId="13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center"/>
    </x:xf>
    <x:xf numFmtId="0" fontId="5" fillId="10" borderId="1" xfId="0" applyNumberFormat="1" applyFont="1" applyFill="1" applyBorder="1" applyAlignment="1">
      <x:alignment vertical="center"/>
    </x:xf>
    <x:xf numFmtId="0" fontId="5" fillId="10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/>
    </x:xf>
    <x:xf numFmtId="0" fontId="8" fillId="2" borderId="3" xfId="0" applyNumberFormat="1" applyFont="1" applyFill="1" applyBorder="1" applyAlignment="1">
      <x:alignment vertical="center"/>
    </x:xf>
    <x:xf numFmtId="0" fontId="8" fillId="2" borderId="4" xfId="0" applyNumberFormat="1" applyFont="1" applyFill="1" applyBorder="1" applyAlignment="1">
      <x:alignment vertical="center"/>
    </x:xf>
    <x:xf numFmtId="0" fontId="8" fillId="2" borderId="5" xfId="0" applyNumberFormat="1" applyFont="1" applyFill="1" applyBorder="1" applyAlignment="1">
      <x:alignment vertical="center"/>
    </x:xf>
    <x:xf numFmtId="0" fontId="8" fillId="2" borderId="6" xfId="0" applyNumberFormat="1" applyFont="1" applyFill="1" applyBorder="1" applyAlignment="1">
      <x:alignment vertical="center"/>
    </x:xf>
    <x:xf numFmtId="0" fontId="8" fillId="2" borderId="7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horizontal="center" vertical="center"/>
    </x:xf>
    <x:xf numFmtId="0" fontId="8" fillId="2" borderId="3" xfId="0" applyNumberFormat="1" applyFont="1" applyFill="1" applyBorder="1" applyAlignment="1">
      <x:alignment horizontal="center" vertical="center"/>
    </x:xf>
    <x:xf numFmtId="0" fontId="8" fillId="2" borderId="4" xfId="0" applyNumberFormat="1" applyFont="1" applyFill="1" applyBorder="1" applyAlignment="1">
      <x:alignment horizontal="center" vertical="center"/>
    </x:xf>
    <x:xf numFmtId="0" fontId="8" fillId="2" borderId="5" xfId="0" applyNumberFormat="1" applyFont="1" applyFill="1" applyBorder="1" applyAlignment="1">
      <x:alignment horizontal="center" vertical="center"/>
    </x:xf>
    <x:xf numFmtId="0" fontId="8" fillId="2" borderId="6" xfId="0" applyNumberFormat="1" applyFont="1" applyFill="1" applyBorder="1" applyAlignment="1">
      <x:alignment horizontal="center" vertical="center"/>
    </x:xf>
    <x:xf numFmtId="0" fontId="8" fillId="2" borderId="7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8" fillId="2" borderId="10" xfId="0" applyNumberFormat="1" applyFont="1" applyFill="1" applyBorder="1" applyAlignment="1">
      <x:alignment vertical="center"/>
    </x:xf>
    <x:xf numFmtId="0" fontId="8" fillId="2" borderId="11" xfId="0" applyNumberFormat="1" applyFont="1" applyFill="1" applyBorder="1" applyAlignment="1">
      <x:alignment vertical="center"/>
    </x:xf>
    <x:xf numFmtId="0" fontId="8" fillId="2" borderId="12" xfId="0" applyNumberFormat="1" applyFont="1" applyFill="1" applyBorder="1" applyAlignment="1">
      <x:alignment vertical="center"/>
    </x:xf>
    <x:xf numFmtId="0" fontId="8" fillId="2" borderId="13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horizontal="center" vertical="center"/>
    </x:xf>
    <x:xf numFmtId="0" fontId="8" fillId="2" borderId="9" xfId="0" applyNumberFormat="1" applyFont="1" applyFill="1" applyBorder="1" applyAlignment="1">
      <x:alignment horizontal="center" vertical="center"/>
    </x:xf>
    <x:xf numFmtId="0" fontId="8" fillId="2" borderId="10" xfId="0" applyNumberFormat="1" applyFont="1" applyFill="1" applyBorder="1" applyAlignment="1">
      <x:alignment horizontal="center" vertical="center"/>
    </x:xf>
    <x:xf numFmtId="0" fontId="8" fillId="2" borderId="11" xfId="0" applyNumberFormat="1" applyFont="1" applyFill="1" applyBorder="1" applyAlignment="1">
      <x:alignment horizontal="center" vertical="center"/>
    </x:xf>
    <x:xf numFmtId="0" fontId="8" fillId="2" borderId="12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 applyAlignment="1">
      <x:alignment vertical="center"/>
    </x:xf>
    <x:xf numFmtId="0" fontId="5" fillId="11" borderId="1" xfId="0" applyNumberFormat="1" applyFont="1" applyFill="1" applyBorder="1" applyAlignment="1">
      <x:alignment vertical="center"/>
    </x:xf>
    <x:xf numFmtId="0" fontId="5" fillId="11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vertical="center"/>
    </x:xf>
    <x:xf numFmtId="0" fontId="9" fillId="2" borderId="4" xfId="0" applyNumberFormat="1" applyFont="1" applyFill="1" applyBorder="1" applyAlignment="1">
      <x:alignment vertical="center"/>
    </x:xf>
    <x:xf numFmtId="0" fontId="9" fillId="2" borderId="5" xfId="0" applyNumberFormat="1" applyFont="1" applyFill="1" applyBorder="1" applyAlignment="1">
      <x:alignment vertical="center"/>
    </x:xf>
    <x:xf numFmtId="0" fontId="9" fillId="2" borderId="6" xfId="0" applyNumberFormat="1" applyFont="1" applyFill="1" applyBorder="1" applyAlignment="1">
      <x:alignment vertical="center"/>
    </x:xf>
    <x:xf numFmtId="0" fontId="9" fillId="2" borderId="7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horizontal="center" vertical="center"/>
    </x:xf>
    <x:xf numFmtId="0" fontId="9" fillId="2" borderId="3" xfId="0" applyNumberFormat="1" applyFont="1" applyFill="1" applyBorder="1" applyAlignment="1">
      <x:alignment horizontal="center" vertical="center"/>
    </x:xf>
    <x:xf numFmtId="0" fontId="9" fillId="2" borderId="4" xfId="0" applyNumberFormat="1" applyFont="1" applyFill="1" applyBorder="1" applyAlignment="1">
      <x:alignment horizontal="center" vertical="center"/>
    </x:xf>
    <x:xf numFmtId="0" fontId="9" fillId="2" borderId="5" xfId="0" applyNumberFormat="1" applyFont="1" applyFill="1" applyBorder="1" applyAlignment="1">
      <x:alignment horizontal="center" vertical="center"/>
    </x:xf>
    <x:xf numFmtId="0" fontId="9" fillId="2" borderId="6" xfId="0" applyNumberFormat="1" applyFont="1" applyFill="1" applyBorder="1" applyAlignment="1">
      <x:alignment horizontal="center" vertical="center"/>
    </x:xf>
    <x:xf numFmtId="0" fontId="9" fillId="2" borderId="7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vertical="center"/>
    </x:xf>
    <x:xf numFmtId="0" fontId="9" fillId="2" borderId="8" xfId="0" applyNumberFormat="1" applyFont="1" applyFill="1" applyBorder="1" applyAlignment="1">
      <x:alignment vertical="center"/>
    </x:xf>
    <x:xf numFmtId="0" fontId="9" fillId="2" borderId="9" xfId="0" applyNumberFormat="1" applyFont="1" applyFill="1" applyBorder="1" applyAlignment="1">
      <x:alignment vertical="center"/>
    </x:xf>
    <x:xf numFmtId="0" fontId="9" fillId="2" borderId="10" xfId="0" applyNumberFormat="1" applyFont="1" applyFill="1" applyBorder="1" applyAlignment="1">
      <x:alignment vertical="center"/>
    </x:xf>
    <x:xf numFmtId="0" fontId="9" fillId="2" borderId="11" xfId="0" applyNumberFormat="1" applyFont="1" applyFill="1" applyBorder="1" applyAlignment="1">
      <x:alignment vertical="center"/>
    </x:xf>
    <x:xf numFmtId="0" fontId="9" fillId="2" borderId="12" xfId="0" applyNumberFormat="1" applyFont="1" applyFill="1" applyBorder="1" applyAlignment="1">
      <x:alignment vertical="center"/>
    </x:xf>
    <x:xf numFmtId="0" fontId="9" fillId="2" borderId="13" xfId="0" applyNumberFormat="1" applyFont="1" applyFill="1" applyBorder="1" applyAlignment="1">
      <x:alignment vertical="center"/>
    </x:xf>
    <x:xf numFmtId="0" fontId="9" fillId="2" borderId="8" xfId="0" applyNumberFormat="1" applyFont="1" applyFill="1" applyBorder="1" applyAlignment="1">
      <x:alignment horizontal="center" vertical="center"/>
    </x:xf>
    <x:xf numFmtId="0" fontId="9" fillId="2" borderId="9" xfId="0" applyNumberFormat="1" applyFont="1" applyFill="1" applyBorder="1" applyAlignment="1">
      <x:alignment horizontal="center" vertical="center"/>
    </x:xf>
    <x:xf numFmtId="0" fontId="9" fillId="2" borderId="10" xfId="0" applyNumberFormat="1" applyFont="1" applyFill="1" applyBorder="1" applyAlignment="1">
      <x:alignment horizontal="center" vertical="center"/>
    </x:xf>
    <x:xf numFmtId="0" fontId="9" fillId="2" borderId="11" xfId="0" applyNumberFormat="1" applyFont="1" applyFill="1" applyBorder="1" applyAlignment="1">
      <x:alignment horizontal="center" vertical="center"/>
    </x:xf>
    <x:xf numFmtId="0" fontId="9" fillId="2" borderId="12" xfId="0" applyNumberFormat="1" applyFont="1" applyFill="1" applyBorder="1" applyAlignment="1">
      <x:alignment horizontal="center" vertical="center"/>
    </x:xf>
    <x:xf numFmtId="0" fontId="9" fillId="2" borderId="13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horizontal="right" vertical="center" wrapText="1"/>
    </x:xf>
    <x:xf numFmtId="0" fontId="11" fillId="5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right" vertical="center" wrapText="1"/>
    </x:xf>
    <x:xf numFmtId="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horizontal="left" vertical="center" wrapText="1"/>
    </x:xf>
    <x:xf numFmtId="0" fontId="12" fillId="4" borderId="1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13" fillId="6" borderId="1" xfId="0" applyNumberFormat="1" applyFont="1" applyFill="1" applyBorder="1" applyAlignment="1">
      <x:alignment vertical="center"/>
    </x:xf>
    <x:xf numFmtId="0" fontId="13" fillId="6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vertical="center"/>
    </x:xf>
    <x:xf numFmtId="0" fontId="5" fillId="4" borderId="15" xfId="0" applyNumberFormat="1" applyFont="1" applyFill="1" applyBorder="1" applyAlignment="1">
      <x:alignment vertical="center"/>
    </x:xf>
    <x:xf numFmtId="0" fontId="5" fillId="4" borderId="16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0" fontId="5" fillId="4" borderId="16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center"/>
    </x:xf>
    <x:xf numFmtId="0" fontId="5" fillId="4" borderId="17" xfId="0" applyNumberFormat="1" applyFont="1" applyFill="1" applyBorder="1" applyAlignment="1">
      <x:alignment vertical="center"/>
    </x:xf>
    <x:xf numFmtId="0" fontId="5" fillId="4" borderId="18" xfId="0" applyNumberFormat="1" applyFont="1" applyFill="1" applyBorder="1" applyAlignment="1">
      <x:alignment vertical="center"/>
    </x:xf>
    <x:xf numFmtId="0" fontId="5" fillId="4" borderId="19" xfId="0" applyNumberFormat="1" applyFont="1" applyFill="1" applyBorder="1" applyAlignment="1">
      <x:alignment vertical="center"/>
    </x:xf>
    <x:xf numFmtId="0" fontId="5" fillId="4" borderId="17" xfId="0" applyNumberFormat="1" applyFont="1" applyFill="1" applyBorder="1" applyAlignment="1">
      <x:alignment vertical="center" wrapText="1"/>
    </x:xf>
    <x:xf numFmtId="0" fontId="5" fillId="4" borderId="18" xfId="0" applyNumberFormat="1" applyFont="1" applyFill="1" applyBorder="1" applyAlignment="1">
      <x:alignment vertical="center" wrapText="1"/>
    </x:xf>
    <x:xf numFmtId="0" fontId="5" fillId="4" borderId="19" xfId="0" applyNumberFormat="1" applyFont="1" applyFill="1" applyBorder="1" applyAlignment="1">
      <x:alignment vertical="center" wrapText="1"/>
    </x:xf>
    <x:xf numFmtId="0" fontId="5" fillId="4" borderId="17" xfId="0" applyNumberFormat="1" applyFont="1" applyFill="1" applyBorder="1" applyAlignment="1">
      <x:alignment horizontal="center" vertical="center" wrapText="1"/>
    </x:xf>
    <x:xf numFmtId="0" fontId="5" fillId="4" borderId="18" xfId="0" applyNumberFormat="1" applyFont="1" applyFill="1" applyBorder="1" applyAlignment="1">
      <x:alignment horizontal="center" vertical="center" wrapText="1"/>
    </x:xf>
    <x:xf numFmtId="0" fontId="5" fillId="4" borderId="19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vertical="center"/>
    </x:xf>
    <x:xf numFmtId="0" fontId="14" fillId="2" borderId="2" xfId="0" applyNumberFormat="1" applyFont="1" applyFill="1" applyBorder="1" applyAlignment="1">
      <x:alignment vertical="center"/>
    </x:xf>
    <x:xf numFmtId="0" fontId="14" fillId="2" borderId="20" xfId="0" applyNumberFormat="1" applyFont="1" applyFill="1" applyBorder="1" applyAlignment="1">
      <x:alignment vertical="center"/>
    </x:xf>
    <x:xf numFmtId="0" fontId="14" fillId="2" borderId="3" xfId="0" applyNumberFormat="1" applyFont="1" applyFill="1" applyBorder="1" applyAlignment="1">
      <x:alignment vertical="center"/>
    </x:xf>
    <x:xf numFmtId="0" fontId="14" fillId="2" borderId="4" xfId="0" applyNumberFormat="1" applyFont="1" applyFill="1" applyBorder="1" applyAlignment="1">
      <x:alignment vertical="center"/>
    </x:xf>
    <x:xf numFmtId="0" fontId="14" fillId="2" borderId="5" xfId="0" applyNumberFormat="1" applyFont="1" applyFill="1" applyBorder="1" applyAlignment="1">
      <x:alignment vertical="center"/>
    </x:xf>
    <x:xf numFmtId="0" fontId="14" fillId="2" borderId="6" xfId="0" applyNumberFormat="1" applyFont="1" applyFill="1" applyBorder="1" applyAlignment="1">
      <x:alignment vertical="center"/>
    </x:xf>
    <x:xf numFmtId="0" fontId="14" fillId="2" borderId="21" xfId="0" applyNumberFormat="1" applyFont="1" applyFill="1" applyBorder="1" applyAlignment="1">
      <x:alignment vertical="center"/>
    </x:xf>
    <x:xf numFmtId="0" fontId="14" fillId="2" borderId="7" xfId="0" applyNumberFormat="1" applyFont="1" applyFill="1" applyBorder="1" applyAlignment="1">
      <x:alignment vertical="center"/>
    </x:xf>
    <x:xf numFmtId="0" fontId="14" fillId="2" borderId="2" xfId="0" applyNumberFormat="1" applyFont="1" applyFill="1" applyBorder="1" applyAlignment="1">
      <x:alignment vertical="center" wrapText="1"/>
    </x:xf>
    <x:xf numFmtId="0" fontId="14" fillId="2" borderId="20" xfId="0" applyNumberFormat="1" applyFont="1" applyFill="1" applyBorder="1" applyAlignment="1">
      <x:alignment vertical="center" wrapText="1"/>
    </x:xf>
    <x:xf numFmtId="0" fontId="14" fillId="2" borderId="3" xfId="0" applyNumberFormat="1" applyFont="1" applyFill="1" applyBorder="1" applyAlignment="1">
      <x:alignment vertical="center" wrapText="1"/>
    </x:xf>
    <x:xf numFmtId="0" fontId="14" fillId="2" borderId="4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4" fillId="2" borderId="5" xfId="0" applyNumberFormat="1" applyFont="1" applyFill="1" applyBorder="1" applyAlignment="1">
      <x:alignment vertical="center" wrapText="1"/>
    </x:xf>
    <x:xf numFmtId="0" fontId="14" fillId="2" borderId="6" xfId="0" applyNumberFormat="1" applyFont="1" applyFill="1" applyBorder="1" applyAlignment="1">
      <x:alignment vertical="center" wrapText="1"/>
    </x:xf>
    <x:xf numFmtId="0" fontId="14" fillId="2" borderId="21" xfId="0" applyNumberFormat="1" applyFont="1" applyFill="1" applyBorder="1" applyAlignment="1">
      <x:alignment vertical="center" wrapText="1"/>
    </x:xf>
    <x:xf numFmtId="0" fontId="14" fillId="2" borderId="7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center"/>
    </x:xf>
    <x:xf numFmtId="0" fontId="14" fillId="2" borderId="8" xfId="0" applyNumberFormat="1" applyFont="1" applyFill="1" applyBorder="1" applyAlignment="1">
      <x:alignment vertical="center"/>
    </x:xf>
    <x:xf numFmtId="0" fontId="14" fillId="2" borderId="22" xfId="0" applyNumberFormat="1" applyFont="1" applyFill="1" applyBorder="1" applyAlignment="1">
      <x:alignment vertical="center"/>
    </x:xf>
    <x:xf numFmtId="0" fontId="14" fillId="2" borderId="9" xfId="0" applyNumberFormat="1" applyFont="1" applyFill="1" applyBorder="1" applyAlignment="1">
      <x:alignment vertical="center"/>
    </x:xf>
    <x:xf numFmtId="0" fontId="14" fillId="2" borderId="10" xfId="0" applyNumberFormat="1" applyFont="1" applyFill="1" applyBorder="1" applyAlignment="1">
      <x:alignment vertical="center"/>
    </x:xf>
    <x:xf numFmtId="0" fontId="14" fillId="2" borderId="11" xfId="0" applyNumberFormat="1" applyFont="1" applyFill="1" applyBorder="1" applyAlignment="1">
      <x:alignment vertical="center"/>
    </x:xf>
    <x:xf numFmtId="0" fontId="14" fillId="2" borderId="12" xfId="0" applyNumberFormat="1" applyFont="1" applyFill="1" applyBorder="1" applyAlignment="1">
      <x:alignment vertical="center"/>
    </x:xf>
    <x:xf numFmtId="0" fontId="14" fillId="2" borderId="23" xfId="0" applyNumberFormat="1" applyFont="1" applyFill="1" applyBorder="1" applyAlignment="1">
      <x:alignment vertical="center"/>
    </x:xf>
    <x:xf numFmtId="0" fontId="14" fillId="2" borderId="13" xfId="0" applyNumberFormat="1" applyFont="1" applyFill="1" applyBorder="1" applyAlignment="1">
      <x:alignment vertical="center"/>
    </x:xf>
    <x:xf numFmtId="0" fontId="14" fillId="2" borderId="8" xfId="0" applyNumberFormat="1" applyFont="1" applyFill="1" applyBorder="1" applyAlignment="1">
      <x:alignment vertical="center" wrapText="1"/>
    </x:xf>
    <x:xf numFmtId="0" fontId="14" fillId="2" borderId="22" xfId="0" applyNumberFormat="1" applyFont="1" applyFill="1" applyBorder="1" applyAlignment="1">
      <x:alignment vertical="center" wrapText="1"/>
    </x:xf>
    <x:xf numFmtId="0" fontId="14" fillId="2" borderId="9" xfId="0" applyNumberFormat="1" applyFont="1" applyFill="1" applyBorder="1" applyAlignment="1">
      <x:alignment vertical="center" wrapText="1"/>
    </x:xf>
    <x:xf numFmtId="0" fontId="14" fillId="2" borderId="10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center" wrapText="1"/>
    </x:xf>
    <x:xf numFmtId="0" fontId="14" fillId="2" borderId="11" xfId="0" applyNumberFormat="1" applyFont="1" applyFill="1" applyBorder="1" applyAlignment="1">
      <x:alignment vertical="center" wrapText="1"/>
    </x:xf>
    <x:xf numFmtId="0" fontId="14" fillId="2" borderId="12" xfId="0" applyNumberFormat="1" applyFont="1" applyFill="1" applyBorder="1" applyAlignment="1">
      <x:alignment vertical="center" wrapText="1"/>
    </x:xf>
    <x:xf numFmtId="0" fontId="14" fillId="2" borderId="23" xfId="0" applyNumberFormat="1" applyFont="1" applyFill="1" applyBorder="1" applyAlignment="1">
      <x:alignment vertical="center" wrapText="1"/>
    </x:xf>
    <x:xf numFmtId="0" fontId="14" fillId="2" borderId="13" xfId="0" applyNumberFormat="1" applyFont="1" applyFill="1" applyBorder="1" applyAlignment="1">
      <x:alignment vertical="center" wrapText="1"/>
    </x:xf>
    <x:xf numFmtId="0" fontId="14" fillId="12" borderId="2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21" xfId="0" applyNumberFormat="1" applyFont="1" applyFill="1" applyBorder="1" applyAlignment="1">
      <x:alignment vertical="center" wrapText="1"/>
    </x:xf>
    <x:xf numFmtId="0" fontId="14" fillId="12" borderId="22" xfId="0" applyNumberFormat="1" applyFont="1" applyFill="1" applyBorder="1" applyAlignment="1">
      <x:alignment vertical="center" wrapText="1"/>
    </x:xf>
    <x:xf numFmtId="0" fontId="14" fillId="12" borderId="1" xfId="0" applyNumberFormat="1" applyFont="1" applyFill="1" applyBorder="1" applyAlignment="1">
      <x:alignment vertical="center" wrapText="1"/>
    </x:xf>
    <x:xf numFmtId="0" fontId="14" fillId="12" borderId="23" xfId="0" applyNumberFormat="1" applyFont="1" applyFill="1" applyBorder="1" applyAlignment="1">
      <x:alignment vertical="center" wrapText="1"/>
    </x:xf>
    <x:xf numFmtId="0" fontId="14" fillId="8" borderId="20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14" fillId="8" borderId="21" xfId="0" applyNumberFormat="1" applyFont="1" applyFill="1" applyBorder="1" applyAlignment="1">
      <x:alignment vertical="center" wrapText="1"/>
    </x:xf>
    <x:xf numFmtId="0" fontId="15" fillId="8" borderId="20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 wrapText="1"/>
    </x:xf>
    <x:xf numFmtId="0" fontId="15" fillId="8" borderId="21" xfId="0" applyNumberFormat="1" applyFont="1" applyFill="1" applyBorder="1" applyAlignment="1">
      <x:alignment vertical="center" wrapText="1"/>
    </x:xf>
    <x:xf numFmtId="0" fontId="15" fillId="8" borderId="24" xfId="0" applyNumberFormat="1" applyFont="1" applyFill="1" applyBorder="1" applyAlignment="1">
      <x:alignment vertical="center" wrapText="1"/>
    </x:xf>
    <x:xf numFmtId="0" fontId="15" fillId="8" borderId="25" xfId="0" applyNumberFormat="1" applyFont="1" applyFill="1" applyBorder="1" applyAlignment="1">
      <x:alignment vertical="center" wrapText="1"/>
    </x:xf>
    <x:xf numFmtId="0" fontId="15" fillId="8" borderId="26" xfId="0" applyNumberFormat="1" applyFont="1" applyFill="1" applyBorder="1" applyAlignment="1">
      <x:alignment vertical="center" wrapText="1"/>
    </x:xf>
    <x:xf numFmtId="0" fontId="15" fillId="8" borderId="24" xfId="0" applyNumberFormat="1" applyFont="1" applyFill="1" applyBorder="1" applyAlignment="1">
      <x:alignment horizontal="center" vertical="center" wrapText="1"/>
    </x:xf>
    <x:xf numFmtId="0" fontId="15" fillId="8" borderId="25" xfId="0" applyNumberFormat="1" applyFont="1" applyFill="1" applyBorder="1" applyAlignment="1">
      <x:alignment horizontal="center" vertical="center" wrapText="1"/>
    </x:xf>
    <x:xf numFmtId="0" fontId="15" fillId="8" borderId="26" xfId="0" applyNumberFormat="1" applyFont="1" applyFill="1" applyBorder="1" applyAlignment="1">
      <x:alignment horizontal="center" vertical="center" wrapText="1"/>
    </x:xf>
    <x:xf numFmtId="0" fontId="14" fillId="8" borderId="22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 applyAlignment="1">
      <x:alignment vertical="center" wrapText="1"/>
    </x:xf>
    <x:xf numFmtId="0" fontId="14" fillId="8" borderId="23" xfId="0" applyNumberFormat="1" applyFont="1" applyFill="1" applyBorder="1" applyAlignment="1">
      <x:alignment vertical="center" wrapText="1"/>
    </x:xf>
    <x:xf numFmtId="0" fontId="15" fillId="8" borderId="22" xfId="0" applyNumberFormat="1" applyFont="1" applyFill="1" applyBorder="1" applyAlignment="1">
      <x:alignment vertical="center" wrapText="1"/>
    </x:xf>
    <x:xf numFmtId="0" fontId="15" fillId="8" borderId="1" xfId="0" applyNumberFormat="1" applyFont="1" applyFill="1" applyBorder="1" applyAlignment="1">
      <x:alignment vertical="center" wrapText="1"/>
    </x:xf>
    <x:xf numFmtId="0" fontId="15" fillId="8" borderId="23" xfId="0" applyNumberFormat="1" applyFont="1" applyFill="1" applyBorder="1" applyAlignment="1">
      <x:alignment vertical="center" wrapText="1"/>
    </x:xf>
    <x:xf numFmtId="0" fontId="15" fillId="8" borderId="27" xfId="0" applyNumberFormat="1" applyFont="1" applyFill="1" applyBorder="1" applyAlignment="1">
      <x:alignment vertical="center" wrapText="1"/>
    </x:xf>
    <x:xf numFmtId="0" fontId="15" fillId="8" borderId="28" xfId="0" applyNumberFormat="1" applyFont="1" applyFill="1" applyBorder="1" applyAlignment="1">
      <x:alignment vertical="center" wrapText="1"/>
    </x:xf>
    <x:xf numFmtId="0" fontId="15" fillId="8" borderId="29" xfId="0" applyNumberFormat="1" applyFont="1" applyFill="1" applyBorder="1" applyAlignment="1">
      <x:alignment vertical="center" wrapText="1"/>
    </x:xf>
    <x:xf numFmtId="0" fontId="15" fillId="8" borderId="27" xfId="0" applyNumberFormat="1" applyFont="1" applyFill="1" applyBorder="1" applyAlignment="1">
      <x:alignment horizontal="center" vertical="center" wrapText="1"/>
    </x:xf>
    <x:xf numFmtId="0" fontId="15" fillId="8" borderId="28" xfId="0" applyNumberFormat="1" applyFont="1" applyFill="1" applyBorder="1" applyAlignment="1">
      <x:alignment horizontal="center" vertical="center" wrapText="1"/>
    </x:xf>
    <x:xf numFmtId="0" fontId="15" fillId="8" borderId="29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16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horizontal="center" vertical="center"/>
    </x:xf>
    <x:xf numFmtId="0" fontId="16" fillId="8" borderId="1" xfId="0" applyNumberFormat="1" applyFont="1" applyFill="1" applyBorder="1" applyAlignment="1">
      <x:alignment vertical="center"/>
    </x:xf>
    <x:xf numFmtId="0" fontId="16" fillId="8" borderId="1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 applyAlignment="1">
      <x:alignment vertical="center"/>
    </x:xf>
    <x:xf numFmtId="0" fontId="17" fillId="13" borderId="0" xfId="0" applyNumberFormat="1" applyFont="1" applyFill="1" applyBorder="1" applyAlignment="1">
      <x:alignment vertical="center"/>
    </x:xf>
    <x:xf numFmtId="0" fontId="17" fillId="13" borderId="0" xfId="0" applyNumberFormat="1" applyFont="1" applyFill="1" applyBorder="1" applyAlignment="1">
      <x:alignment horizontal="center" vertical="center"/>
    </x:xf>
    <x:xf numFmtId="0" fontId="1" fillId="13" borderId="1" xfId="0" applyNumberFormat="1" applyFont="1" applyFill="1" applyBorder="1" applyAlignment="1">
      <x:alignment vertical="center"/>
    </x:xf>
    <x:xf numFmtId="0" fontId="17" fillId="13" borderId="1" xfId="0" applyNumberFormat="1" applyFont="1" applyFill="1" applyBorder="1" applyAlignment="1">
      <x:alignment vertical="center"/>
    </x:xf>
    <x:xf numFmtId="0" fontId="17" fillId="13" borderId="1" xfId="0" applyNumberFormat="1" applyFont="1" applyFill="1" applyBorder="1" applyAlignment="1">
      <x:alignment horizontal="center" vertical="center"/>
    </x:xf>
    <x:xf numFmtId="0" fontId="14" fillId="2" borderId="2" xfId="0" applyNumberFormat="1" applyFont="1" applyFill="1" applyBorder="1" applyAlignment="1">
      <x:alignment horizontal="center" vertical="center" wrapText="1"/>
    </x:xf>
    <x:xf numFmtId="0" fontId="14" fillId="2" borderId="20" xfId="0" applyNumberFormat="1" applyFont="1" applyFill="1" applyBorder="1" applyAlignment="1">
      <x:alignment horizontal="center" vertical="center" wrapText="1"/>
    </x:xf>
    <x:xf numFmtId="0" fontId="14" fillId="2" borderId="4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4" fillId="2" borderId="6" xfId="0" applyNumberFormat="1" applyFont="1" applyFill="1" applyBorder="1" applyAlignment="1">
      <x:alignment horizontal="center" vertical="center" wrapText="1"/>
    </x:xf>
    <x:xf numFmtId="0" fontId="14" fillId="2" borderId="21" xfId="0" applyNumberFormat="1" applyFont="1" applyFill="1" applyBorder="1" applyAlignment="1">
      <x:alignment horizontal="center" vertical="center" wrapText="1"/>
    </x:xf>
    <x:xf numFmtId="0" fontId="14" fillId="2" borderId="8" xfId="0" applyNumberFormat="1" applyFont="1" applyFill="1" applyBorder="1" applyAlignment="1">
      <x:alignment horizontal="center" vertical="center" wrapText="1"/>
    </x:xf>
    <x:xf numFmtId="0" fontId="14" fillId="2" borderId="22" xfId="0" applyNumberFormat="1" applyFont="1" applyFill="1" applyBorder="1" applyAlignment="1">
      <x:alignment horizontal="center" vertical="center" wrapText="1"/>
    </x:xf>
    <x:xf numFmtId="0" fontId="14" fillId="2" borderId="10" xfId="0" applyNumberFormat="1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 applyAlignment="1">
      <x:alignment horizontal="center" vertical="center" wrapText="1"/>
    </x:xf>
    <x:xf numFmtId="0" fontId="14" fillId="2" borderId="12" xfId="0" applyNumberFormat="1" applyFont="1" applyFill="1" applyBorder="1" applyAlignment="1">
      <x:alignment horizontal="center" vertical="center" wrapText="1"/>
    </x:xf>
    <x:xf numFmtId="0" fontId="14" fillId="2" borderId="23" xfId="0" applyNumberFormat="1" applyFont="1" applyFill="1" applyBorder="1" applyAlignment="1">
      <x:alignment horizontal="center" vertical="center" wrapText="1"/>
    </x:xf>
    <x:xf numFmtId="0" fontId="14" fillId="6" borderId="2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vertical="center" wrapText="1"/>
    </x:xf>
    <x:xf numFmtId="0" fontId="13" fillId="6" borderId="20" xfId="0" applyNumberFormat="1" applyFont="1" applyFill="1" applyBorder="1" applyAlignment="1">
      <x:alignment vertical="center" wrapText="1"/>
    </x:xf>
    <x:xf numFmtId="0" fontId="13" fillId="6" borderId="21" xfId="0" applyNumberFormat="1" applyFont="1" applyFill="1" applyBorder="1" applyAlignment="1">
      <x:alignment vertical="center" wrapText="1"/>
    </x:xf>
    <x:xf numFmtId="0" fontId="13" fillId="6" borderId="24" xfId="0" applyNumberFormat="1" applyFont="1" applyFill="1" applyBorder="1" applyAlignment="1">
      <x:alignment vertical="center" wrapText="1"/>
    </x:xf>
    <x:xf numFmtId="0" fontId="13" fillId="6" borderId="25" xfId="0" applyNumberFormat="1" applyFont="1" applyFill="1" applyBorder="1" applyAlignment="1">
      <x:alignment vertical="center" wrapText="1"/>
    </x:xf>
    <x:xf numFmtId="0" fontId="13" fillId="6" borderId="26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0" fontId="14" fillId="6" borderId="23" xfId="0" applyNumberFormat="1" applyFont="1" applyFill="1" applyBorder="1" applyAlignment="1">
      <x:alignment vertical="center" wrapText="1"/>
    </x:xf>
    <x:xf numFmtId="0" fontId="13" fillId="6" borderId="22" xfId="0" applyNumberFormat="1" applyFont="1" applyFill="1" applyBorder="1" applyAlignment="1">
      <x:alignment vertical="center" wrapText="1"/>
    </x:xf>
    <x:xf numFmtId="0" fontId="13" fillId="6" borderId="23" xfId="0" applyNumberFormat="1" applyFont="1" applyFill="1" applyBorder="1" applyAlignment="1">
      <x:alignment vertical="center" wrapText="1"/>
    </x:xf>
    <x:xf numFmtId="0" fontId="13" fillId="6" borderId="27" xfId="0" applyNumberFormat="1" applyFont="1" applyFill="1" applyBorder="1" applyAlignment="1">
      <x:alignment vertical="center" wrapText="1"/>
    </x:xf>
    <x:xf numFmtId="0" fontId="13" fillId="6" borderId="28" xfId="0" applyNumberFormat="1" applyFont="1" applyFill="1" applyBorder="1" applyAlignment="1">
      <x:alignment vertical="center" wrapText="1"/>
    </x:xf>
    <x:xf numFmtId="0" fontId="13" fillId="6" borderId="29" xfId="0" applyNumberFormat="1" applyFont="1" applyFill="1" applyBorder="1" applyAlignment="1">
      <x:alignment vertical="center" wrapText="1"/>
    </x:xf>
    <x:xf numFmtId="0" fontId="14" fillId="5" borderId="2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21" xfId="0" applyNumberFormat="1" applyFont="1" applyFill="1" applyBorder="1" applyAlignment="1">
      <x:alignment vertical="center" wrapText="1"/>
    </x:xf>
    <x:xf numFmtId="0" fontId="14" fillId="5" borderId="22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vertical="center" wrapText="1"/>
    </x:xf>
    <x:xf numFmtId="0" fontId="14" fillId="5" borderId="23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horizontal="center" vertical="center"/>
    </x:xf>
    <x:xf numFmtId="0" fontId="18" fillId="6" borderId="1" xfId="0" applyNumberFormat="1" applyFont="1" applyFill="1" applyBorder="1" applyAlignment="1">
      <x:alignment vertical="center"/>
    </x:xf>
    <x:xf numFmtId="0" fontId="18" fillId="6" borderId="1" xfId="0" applyNumberFormat="1" applyFont="1" applyFill="1" applyBorder="1" applyAlignment="1">
      <x:alignment horizontal="center" vertical="center"/>
    </x:xf>
    <x:xf numFmtId="0" fontId="14" fillId="4" borderId="2" xfId="0" applyNumberFormat="1" applyFont="1" applyFill="1" applyBorder="1" applyAlignment="1">
      <x:alignment vertical="center" wrapText="1"/>
    </x:xf>
    <x:xf numFmtId="0" fontId="14" fillId="4" borderId="4" xfId="0" applyNumberFormat="1" applyFont="1" applyFill="1" applyBorder="1" applyAlignment="1">
      <x:alignment vertical="center" wrapText="1"/>
    </x:xf>
    <x:xf numFmtId="0" fontId="14" fillId="4" borderId="6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4" borderId="4" xfId="0" applyNumberFormat="1" applyFont="1" applyFill="1" applyBorder="1" applyAlignment="1">
      <x:alignment horizontal="center" vertical="center" wrapText="1"/>
    </x:xf>
    <x:xf numFmtId="0" fontId="10" fillId="4" borderId="6" xfId="0" applyNumberFormat="1" applyFont="1" applyFill="1" applyBorder="1" applyAlignment="1">
      <x:alignment horizontal="center" vertical="center" wrapText="1"/>
    </x:xf>
    <x:xf numFmtId="0" fontId="14" fillId="4" borderId="8" xfId="0" applyNumberFormat="1" applyFont="1" applyFill="1" applyBorder="1" applyAlignment="1">
      <x:alignment vertical="center" wrapText="1"/>
    </x:xf>
    <x:xf numFmtId="0" fontId="14" fillId="4" borderId="10" xfId="0" applyNumberFormat="1" applyFont="1" applyFill="1" applyBorder="1" applyAlignment="1">
      <x:alignment vertical="center" wrapText="1"/>
    </x:xf>
    <x:xf numFmtId="0" fontId="14" fillId="4" borderId="12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10" fillId="4" borderId="10" xfId="0" applyNumberFormat="1" applyFont="1" applyFill="1" applyBorder="1" applyAlignment="1">
      <x:alignment vertical="center" wrapText="1"/>
    </x:xf>
    <x:xf numFmtId="0" fontId="10" fillId="4" borderId="12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horizontal="center" vertical="center" wrapText="1"/>
    </x:xf>
    <x:xf numFmtId="0" fontId="10" fillId="4" borderId="10" xfId="0" applyNumberFormat="1" applyFont="1" applyFill="1" applyBorder="1" applyAlignment="1">
      <x:alignment horizontal="center" vertical="center" wrapText="1"/>
    </x:xf>
    <x:xf numFmtId="0" fontId="10" fillId="4" borderId="12" xfId="0" applyNumberFormat="1" applyFont="1" applyFill="1" applyBorder="1" applyAlignment="1">
      <x:alignment horizontal="center" vertical="center" wrapText="1"/>
    </x:xf>
    <x:xf numFmtId="0" fontId="14" fillId="7" borderId="20" xfId="0" applyNumberFormat="1" applyFont="1" applyFill="1" applyBorder="1" applyAlignment="1">
      <x:alignment vertical="center" wrapText="1"/>
    </x:xf>
    <x:xf numFmtId="0" fontId="14" fillId="7" borderId="3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4" fillId="7" borderId="5" xfId="0" applyNumberFormat="1" applyFont="1" applyFill="1" applyBorder="1" applyAlignment="1">
      <x:alignment vertical="center" wrapText="1"/>
    </x:xf>
    <x:xf numFmtId="0" fontId="14" fillId="7" borderId="21" xfId="0" applyNumberFormat="1" applyFont="1" applyFill="1" applyBorder="1" applyAlignment="1">
      <x:alignment vertical="center" wrapText="1"/>
    </x:xf>
    <x:xf numFmtId="0" fontId="14" fillId="7" borderId="7" xfId="0" applyNumberFormat="1" applyFont="1" applyFill="1" applyBorder="1" applyAlignment="1">
      <x:alignment vertical="center" wrapText="1"/>
    </x:xf>
    <x:xf numFmtId="0" fontId="14" fillId="7" borderId="22" xfId="0" applyNumberFormat="1" applyFont="1" applyFill="1" applyBorder="1" applyAlignment="1">
      <x:alignment vertical="center" wrapText="1"/>
    </x:xf>
    <x:xf numFmtId="0" fontId="14" fillId="7" borderId="9" xfId="0" applyNumberFormat="1" applyFont="1" applyFill="1" applyBorder="1" applyAlignment="1">
      <x:alignment vertical="center" wrapText="1"/>
    </x:xf>
    <x:xf numFmtId="0" fontId="14" fillId="7" borderId="1" xfId="0" applyNumberFormat="1" applyFont="1" applyFill="1" applyBorder="1" applyAlignment="1">
      <x:alignment vertical="center" wrapText="1"/>
    </x:xf>
    <x:xf numFmtId="0" fontId="14" fillId="7" borderId="11" xfId="0" applyNumberFormat="1" applyFont="1" applyFill="1" applyBorder="1" applyAlignment="1">
      <x:alignment vertical="center" wrapText="1"/>
    </x:xf>
    <x:xf numFmtId="0" fontId="14" fillId="7" borderId="23" xfId="0" applyNumberFormat="1" applyFont="1" applyFill="1" applyBorder="1" applyAlignment="1">
      <x:alignment vertical="center" wrapText="1"/>
    </x:xf>
    <x:xf numFmtId="0" fontId="14" fillId="7" borderId="13" xfId="0" applyNumberFormat="1" applyFont="1" applyFill="1" applyBorder="1" applyAlignment="1">
      <x:alignment vertical="center" wrapText="1"/>
    </x:xf>
    <x:xf numFmtId="0" fontId="14" fillId="6" borderId="2" xfId="0" applyNumberFormat="1" applyFont="1" applyFill="1" applyBorder="1" applyAlignment="1">
      <x:alignment vertical="center" wrapText="1"/>
    </x:xf>
    <x:xf numFmtId="0" fontId="14" fillId="6" borderId="4" xfId="0" applyNumberFormat="1" applyFont="1" applyFill="1" applyBorder="1" applyAlignment="1">
      <x:alignment vertical="center" wrapText="1"/>
    </x:xf>
    <x:xf numFmtId="0" fontId="14" fillId="6" borderId="6" xfId="0" applyNumberFormat="1" applyFont="1" applyFill="1" applyBorder="1" applyAlignment="1">
      <x:alignment vertical="center" wrapText="1"/>
    </x:xf>
    <x:xf numFmtId="0" fontId="13" fillId="6" borderId="2" xfId="0" applyNumberFormat="1" applyFont="1" applyFill="1" applyBorder="1" applyAlignment="1">
      <x:alignment vertical="center" wrapText="1"/>
    </x:xf>
    <x:xf numFmtId="0" fontId="13" fillId="6" borderId="4" xfId="0" applyNumberFormat="1" applyFont="1" applyFill="1" applyBorder="1" applyAlignment="1">
      <x:alignment vertical="center" wrapText="1"/>
    </x:xf>
    <x:xf numFmtId="0" fontId="13" fillId="6" borderId="6" xfId="0" applyNumberFormat="1" applyFont="1" applyFill="1" applyBorder="1" applyAlignment="1">
      <x:alignment vertical="center" wrapText="1"/>
    </x:xf>
    <x:xf numFmtId="0" fontId="14" fillId="6" borderId="8" xfId="0" applyNumberFormat="1" applyFont="1" applyFill="1" applyBorder="1" applyAlignment="1">
      <x:alignment vertical="center" wrapText="1"/>
    </x:xf>
    <x:xf numFmtId="0" fontId="14" fillId="6" borderId="10" xfId="0" applyNumberFormat="1" applyFont="1" applyFill="1" applyBorder="1" applyAlignment="1">
      <x:alignment vertical="center" wrapText="1"/>
    </x:xf>
    <x:xf numFmtId="0" fontId="14" fillId="6" borderId="12" xfId="0" applyNumberFormat="1" applyFont="1" applyFill="1" applyBorder="1" applyAlignment="1">
      <x:alignment vertical="center" wrapText="1"/>
    </x:xf>
    <x:xf numFmtId="0" fontId="13" fillId="6" borderId="8" xfId="0" applyNumberFormat="1" applyFont="1" applyFill="1" applyBorder="1" applyAlignment="1">
      <x:alignment vertical="center" wrapText="1"/>
    </x:xf>
    <x:xf numFmtId="0" fontId="13" fillId="6" borderId="10" xfId="0" applyNumberFormat="1" applyFont="1" applyFill="1" applyBorder="1" applyAlignment="1">
      <x:alignment vertical="center" wrapText="1"/>
    </x:xf>
    <x:xf numFmtId="0" fontId="13" fillId="6" borderId="12" xfId="0" applyNumberFormat="1" applyFont="1" applyFill="1" applyBorder="1" applyAlignment="1">
      <x:alignment vertical="center" wrapText="1"/>
    </x:xf>
    <x:xf numFmtId="0" fontId="14" fillId="12" borderId="3" xfId="0" applyNumberFormat="1" applyFont="1" applyFill="1" applyBorder="1" applyAlignment="1">
      <x:alignment vertical="center" wrapText="1"/>
    </x:xf>
    <x:xf numFmtId="0" fontId="14" fillId="12" borderId="5" xfId="0" applyNumberFormat="1" applyFont="1" applyFill="1" applyBorder="1" applyAlignment="1">
      <x:alignment vertical="center" wrapText="1"/>
    </x:xf>
    <x:xf numFmtId="0" fontId="14" fillId="12" borderId="7" xfId="0" applyNumberFormat="1" applyFont="1" applyFill="1" applyBorder="1" applyAlignment="1">
      <x:alignment vertical="center" wrapText="1"/>
    </x:xf>
    <x:xf numFmtId="0" fontId="14" fillId="12" borderId="9" xfId="0" applyNumberFormat="1" applyFont="1" applyFill="1" applyBorder="1" applyAlignment="1">
      <x:alignment vertical="center" wrapText="1"/>
    </x:xf>
    <x:xf numFmtId="0" fontId="14" fillId="12" borderId="11" xfId="0" applyNumberFormat="1" applyFont="1" applyFill="1" applyBorder="1" applyAlignment="1">
      <x:alignment vertical="center" wrapText="1"/>
    </x:xf>
    <x:xf numFmtId="0" fontId="14" fillId="12" borderId="13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/>
    </x:xf>
    <x:xf numFmtId="0" fontId="1" fillId="7" borderId="20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0" fontId="1" fillId="7" borderId="5" xfId="0" applyNumberFormat="1" applyFont="1" applyFill="1" applyBorder="1" applyAlignment="1">
      <x:alignment vertical="center"/>
    </x:xf>
    <x:xf numFmtId="0" fontId="1" fillId="7" borderId="6" xfId="0" applyNumberFormat="1" applyFont="1" applyFill="1" applyBorder="1" applyAlignment="1">
      <x:alignment vertical="center"/>
    </x:xf>
    <x:xf numFmtId="0" fontId="1" fillId="7" borderId="21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20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21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5" fillId="8" borderId="0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2" fillId="15" borderId="0" xfId="0" applyNumberFormat="1" applyFont="1" applyFill="1" applyBorder="1" applyAlignment="1">
      <x:alignment vertical="center"/>
    </x:xf>
    <x:xf numFmtId="0" fontId="12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horizontal="left" vertical="center" wrapText="1"/>
    </x:xf>
    <x:xf numFmtId="0" fontId="1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right" vertical="center" wrapText="1"/>
    </x:xf>
    <x:xf numFmtId="0" fontId="1" fillId="17" borderId="0" xfId="0" applyNumberFormat="1" applyFont="1" applyFill="1" applyBorder="1" applyAlignment="1">
      <x:alignment vertical="center"/>
    </x:xf>
    <x:xf numFmtId="0" fontId="13" fillId="17" borderId="0" xfId="0" applyNumberFormat="1" applyFont="1" applyFill="1" applyBorder="1" applyAlignment="1">
      <x:alignment vertical="center"/>
    </x:xf>
    <x:xf numFmtId="0" fontId="13" fillId="17" borderId="0" xfId="0" applyNumberFormat="1" applyFont="1" applyFill="1" applyBorder="1" applyAlignment="1">
      <x:alignment vertical="center" wrapText="1"/>
    </x:xf>
    <x:xf numFmtId="0" fontId="13" fillId="17" borderId="0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vertical="center"/>
    </x:xf>
    <x:xf numFmtId="0" fontId="5" fillId="15" borderId="30" xfId="0" applyNumberFormat="1" applyFont="1" applyFill="1" applyBorder="1" applyAlignment="1">
      <x:alignment vertical="center"/>
    </x:xf>
    <x:xf numFmtId="0" fontId="5" fillId="15" borderId="31" xfId="0" applyNumberFormat="1" applyFont="1" applyFill="1" applyBorder="1" applyAlignment="1">
      <x:alignment vertical="center"/>
    </x:xf>
    <x:xf numFmtId="0" fontId="5" fillId="15" borderId="32" xfId="0" applyNumberFormat="1" applyFont="1" applyFill="1" applyBorder="1" applyAlignment="1">
      <x:alignment vertical="center"/>
    </x:xf>
    <x:xf numFmtId="0" fontId="5" fillId="15" borderId="30" xfId="0" applyNumberFormat="1" applyFont="1" applyFill="1" applyBorder="1" applyAlignment="1">
      <x:alignment vertical="center" wrapText="1"/>
    </x:xf>
    <x:xf numFmtId="0" fontId="5" fillId="15" borderId="31" xfId="0" applyNumberFormat="1" applyFont="1" applyFill="1" applyBorder="1" applyAlignment="1">
      <x:alignment vertical="center" wrapText="1"/>
    </x:xf>
    <x:xf numFmtId="0" fontId="5" fillId="15" borderId="32" xfId="0" applyNumberFormat="1" applyFont="1" applyFill="1" applyBorder="1" applyAlignment="1">
      <x:alignment vertical="center" wrapText="1"/>
    </x:xf>
    <x:xf numFmtId="0" fontId="5" fillId="15" borderId="30" xfId="0" applyNumberFormat="1" applyFont="1" applyFill="1" applyBorder="1" applyAlignment="1">
      <x:alignment horizontal="center" vertical="center" wrapText="1"/>
    </x:xf>
    <x:xf numFmtId="0" fontId="5" fillId="15" borderId="31" xfId="0" applyNumberFormat="1" applyFont="1" applyFill="1" applyBorder="1" applyAlignment="1">
      <x:alignment horizontal="center" vertical="center" wrapText="1"/>
    </x:xf>
    <x:xf numFmtId="0" fontId="5" fillId="15" borderId="32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 applyAlignment="1">
      <x:alignment vertical="center"/>
    </x:xf>
    <x:xf numFmtId="0" fontId="14" fillId="14" borderId="33" xfId="0" applyNumberFormat="1" applyFont="1" applyFill="1" applyBorder="1" applyAlignment="1">
      <x:alignment vertical="center"/>
    </x:xf>
    <x:xf numFmtId="0" fontId="14" fillId="14" borderId="34" xfId="0" applyNumberFormat="1" applyFont="1" applyFill="1" applyBorder="1" applyAlignment="1">
      <x:alignment vertical="center"/>
    </x:xf>
    <x:xf numFmtId="0" fontId="14" fillId="14" borderId="35" xfId="0" applyNumberFormat="1" applyFont="1" applyFill="1" applyBorder="1" applyAlignment="1">
      <x:alignment vertical="center"/>
    </x:xf>
    <x:xf numFmtId="0" fontId="14" fillId="14" borderId="36" xfId="0" applyNumberFormat="1" applyFont="1" applyFill="1" applyBorder="1" applyAlignment="1">
      <x:alignment vertical="center"/>
    </x:xf>
    <x:xf numFmtId="0" fontId="14" fillId="14" xfId="0" applyNumberFormat="1" applyFont="1" applyFill="1" applyBorder="0" applyAlignment="1">
      <x:alignment vertical="center"/>
    </x:xf>
    <x:xf numFmtId="0" fontId="14" fillId="14" borderId="37" xfId="0" applyNumberFormat="1" applyFont="1" applyFill="1" applyBorder="1" applyAlignment="1">
      <x:alignment vertical="center"/>
    </x:xf>
    <x:xf numFmtId="0" fontId="14" fillId="14" borderId="38" xfId="0" applyNumberFormat="1" applyFont="1" applyFill="1" applyBorder="1" applyAlignment="1">
      <x:alignment vertical="center"/>
    </x:xf>
    <x:xf numFmtId="0" fontId="14" fillId="14" borderId="39" xfId="0" applyNumberFormat="1" applyFont="1" applyFill="1" applyBorder="1" applyAlignment="1">
      <x:alignment vertical="center"/>
    </x:xf>
    <x:xf numFmtId="0" fontId="14" fillId="14" borderId="40" xfId="0" applyNumberFormat="1" applyFont="1" applyFill="1" applyBorder="1" applyAlignment="1">
      <x:alignment vertical="center"/>
    </x:xf>
    <x:xf numFmtId="0" fontId="14" fillId="14" borderId="33" xfId="0" applyNumberFormat="1" applyFont="1" applyFill="1" applyBorder="1" applyAlignment="1">
      <x:alignment vertical="center" wrapText="1"/>
    </x:xf>
    <x:xf numFmtId="0" fontId="14" fillId="14" borderId="34" xfId="0" applyNumberFormat="1" applyFont="1" applyFill="1" applyBorder="1" applyAlignment="1">
      <x:alignment vertical="center" wrapText="1"/>
    </x:xf>
    <x:xf numFmtId="0" fontId="14" fillId="14" borderId="35" xfId="0" applyNumberFormat="1" applyFont="1" applyFill="1" applyBorder="1" applyAlignment="1">
      <x:alignment vertical="center" wrapText="1"/>
    </x:xf>
    <x:xf numFmtId="0" fontId="14" fillId="14" borderId="36" xfId="0" applyNumberFormat="1" applyFont="1" applyFill="1" applyBorder="1" applyAlignment="1">
      <x:alignment vertical="center" wrapText="1"/>
    </x:xf>
    <x:xf numFmtId="0" fontId="14" fillId="14" xfId="0" applyNumberFormat="1" applyFont="1" applyFill="1" applyBorder="0" applyAlignment="1">
      <x:alignment vertical="center" wrapText="1"/>
    </x:xf>
    <x:xf numFmtId="0" fontId="14" fillId="14" borderId="37" xfId="0" applyNumberFormat="1" applyFont="1" applyFill="1" applyBorder="1" applyAlignment="1">
      <x:alignment vertical="center" wrapText="1"/>
    </x:xf>
    <x:xf numFmtId="0" fontId="14" fillId="14" borderId="38" xfId="0" applyNumberFormat="1" applyFont="1" applyFill="1" applyBorder="1" applyAlignment="1">
      <x:alignment vertical="center" wrapText="1"/>
    </x:xf>
    <x:xf numFmtId="0" fontId="14" fillId="14" borderId="39" xfId="0" applyNumberFormat="1" applyFont="1" applyFill="1" applyBorder="1" applyAlignment="1">
      <x:alignment vertical="center" wrapText="1"/>
    </x:xf>
    <x:xf numFmtId="0" fontId="14" fillId="14" borderId="40" xfId="0" applyNumberFormat="1" applyFont="1" applyFill="1" applyBorder="1" applyAlignment="1">
      <x:alignment vertical="center" wrapText="1"/>
    </x:xf>
    <x:xf numFmtId="0" fontId="14" fillId="17" borderId="34" xfId="0" applyNumberFormat="1" applyFont="1" applyFill="1" applyBorder="1" applyAlignment="1">
      <x:alignment vertical="center" wrapText="1"/>
    </x:xf>
    <x:xf numFmtId="0" fontId="14" fillId="17" xfId="0" applyNumberFormat="1" applyFont="1" applyFill="1" applyBorder="0" applyAlignment="1">
      <x:alignment vertical="center" wrapText="1"/>
    </x:xf>
    <x:xf numFmtId="0" fontId="14" fillId="17" borderId="39" xfId="0" applyNumberFormat="1" applyFont="1" applyFill="1" applyBorder="1" applyAlignment="1">
      <x:alignment vertical="center" wrapText="1"/>
    </x:xf>
    <x:xf numFmtId="0" fontId="14" fillId="16" borderId="34" xfId="0" applyNumberFormat="1" applyFont="1" applyFill="1" applyBorder="1" applyAlignment="1">
      <x:alignment vertical="center" wrapText="1"/>
    </x:xf>
    <x:xf numFmtId="0" fontId="14" fillId="16" xfId="0" applyNumberFormat="1" applyFont="1" applyFill="1" applyBorder="0" applyAlignment="1">
      <x:alignment vertical="center" wrapText="1"/>
    </x:xf>
    <x:xf numFmtId="0" fontId="14" fillId="16" borderId="39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vertical="center"/>
    </x:xf>
    <x:xf numFmtId="0" fontId="19" fillId="18" borderId="0" xfId="0" applyNumberFormat="1" applyFont="1" applyFill="1" applyBorder="1" applyAlignment="1">
      <x:alignment vertical="center"/>
    </x:xf>
    <x:xf numFmtId="0" fontId="19" fillId="18" borderId="0" xfId="0" applyNumberFormat="1" applyFont="1" applyFill="1" applyBorder="1" applyAlignment="1">
      <x:alignment horizontal="center" vertical="center"/>
    </x:xf>
    <x:xf numFmtId="0" fontId="20" fillId="17" borderId="0" xfId="0" applyNumberFormat="1" applyFont="1" applyFill="1" applyBorder="1" applyAlignment="1">
      <x:alignment vertical="center"/>
    </x:xf>
    <x:xf numFmtId="0" fontId="20" fillId="17" borderId="0" xfId="0" applyNumberFormat="1" applyFont="1" applyFill="1" applyBorder="1" applyAlignment="1">
      <x:alignment horizontal="center" vertical="center"/>
    </x:xf>
    <x:xf numFmtId="0" fontId="11" fillId="16" borderId="0" xfId="0" applyNumberFormat="1" applyFont="1" applyFill="1" applyBorder="1" applyAlignment="1">
      <x:alignment vertical="center"/>
    </x:xf>
    <x:xf numFmtId="0" fontId="1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horizontal="right" vertical="center" wrapText="1"/>
    </x:xf>
    <x:xf numFmtId="0" fontId="14" fillId="15" borderId="33" xfId="0" applyNumberFormat="1" applyFont="1" applyFill="1" applyBorder="1" applyAlignment="1">
      <x:alignment vertical="center" wrapText="1"/>
    </x:xf>
    <x:xf numFmtId="0" fontId="14" fillId="15" borderId="36" xfId="0" applyNumberFormat="1" applyFont="1" applyFill="1" applyBorder="1" applyAlignment="1">
      <x:alignment vertical="center" wrapText="1"/>
    </x:xf>
    <x:xf numFmtId="0" fontId="14" fillId="15" borderId="38" xfId="0" applyNumberFormat="1" applyFont="1" applyFill="1" applyBorder="1" applyAlignment="1">
      <x:alignment vertical="center" wrapText="1"/>
    </x:xf>
    <x:xf numFmtId="0" fontId="10" fillId="15" borderId="33" xfId="0" applyNumberFormat="1" applyFont="1" applyFill="1" applyBorder="1" applyAlignment="1">
      <x:alignment vertical="center" wrapText="1"/>
    </x:xf>
    <x:xf numFmtId="0" fontId="10" fillId="15" borderId="36" xfId="0" applyNumberFormat="1" applyFont="1" applyFill="1" applyBorder="1" applyAlignment="1">
      <x:alignment vertical="center" wrapText="1"/>
    </x:xf>
    <x:xf numFmtId="0" fontId="10" fillId="15" borderId="38" xfId="0" applyNumberFormat="1" applyFont="1" applyFill="1" applyBorder="1" applyAlignment="1">
      <x:alignment vertical="center" wrapText="1"/>
    </x:xf>
    <x:xf numFmtId="0" fontId="10" fillId="15" borderId="33" xfId="0" applyNumberFormat="1" applyFont="1" applyFill="1" applyBorder="1" applyAlignment="1">
      <x:alignment horizontal="center" vertical="center" wrapText="1"/>
    </x:xf>
    <x:xf numFmtId="0" fontId="10" fillId="15" borderId="36" xfId="0" applyNumberFormat="1" applyFont="1" applyFill="1" applyBorder="1" applyAlignment="1">
      <x:alignment horizontal="center" vertical="center" wrapText="1"/>
    </x:xf>
    <x:xf numFmtId="0" fontId="10" fillId="15" borderId="38" xfId="0" applyNumberFormat="1" applyFont="1" applyFill="1" applyBorder="1" applyAlignment="1">
      <x:alignment horizontal="center" vertical="center" wrapText="1"/>
    </x:xf>
    <x:xf numFmtId="0" fontId="14" fillId="19" borderId="34" xfId="0" applyNumberFormat="1" applyFont="1" applyFill="1" applyBorder="1" applyAlignment="1">
      <x:alignment vertical="center" wrapText="1"/>
    </x:xf>
    <x:xf numFmtId="0" fontId="14" fillId="19" xfId="0" applyNumberFormat="1" applyFont="1" applyFill="1" applyBorder="0" applyAlignment="1">
      <x:alignment vertical="center" wrapText="1"/>
    </x:xf>
    <x:xf numFmtId="0" fontId="14" fillId="19" borderId="39" xfId="0" applyNumberFormat="1" applyFont="1" applyFill="1" applyBorder="1" applyAlignment="1">
      <x:alignment vertical="center" wrapText="1"/>
    </x:xf>
    <x:xf numFmtId="0" fontId="14" fillId="17" borderId="33" xfId="0" applyNumberFormat="1" applyFont="1" applyFill="1" applyBorder="1" applyAlignment="1">
      <x:alignment vertical="center" wrapText="1"/>
    </x:xf>
    <x:xf numFmtId="0" fontId="14" fillId="17" borderId="36" xfId="0" applyNumberFormat="1" applyFont="1" applyFill="1" applyBorder="1" applyAlignment="1">
      <x:alignment vertical="center" wrapText="1"/>
    </x:xf>
    <x:xf numFmtId="0" fontId="14" fillId="17" borderId="38" xfId="0" applyNumberFormat="1" applyFont="1" applyFill="1" applyBorder="1" applyAlignment="1">
      <x:alignment vertical="center" wrapText="1"/>
    </x:xf>
    <x:xf numFmtId="0" fontId="14" fillId="19" borderId="35" xfId="0" applyNumberFormat="1" applyFont="1" applyFill="1" applyBorder="1" applyAlignment="1">
      <x:alignment vertical="center" wrapText="1"/>
    </x:xf>
    <x:xf numFmtId="0" fontId="14" fillId="19" borderId="37" xfId="0" applyNumberFormat="1" applyFont="1" applyFill="1" applyBorder="1" applyAlignment="1">
      <x:alignment vertical="center" wrapText="1"/>
    </x:xf>
    <x:xf numFmtId="0" fontId="14" fillId="19" borderId="4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center"/>
    </x:xf>
    <x:xf numFmtId="0" fontId="14" fillId="20" borderId="0" xfId="0" applyNumberFormat="1" applyFont="1" applyFill="1" applyBorder="1" applyAlignment="1">
      <x:alignment vertical="center"/>
    </x:xf>
    <x:xf numFmtId="0" fontId="14" fillId="20" borderId="33" xfId="0" applyNumberFormat="1" applyFont="1" applyFill="1" applyBorder="1" applyAlignment="1">
      <x:alignment vertical="center"/>
    </x:xf>
    <x:xf numFmtId="0" fontId="14" fillId="20" borderId="34" xfId="0" applyNumberFormat="1" applyFont="1" applyFill="1" applyBorder="1" applyAlignment="1">
      <x:alignment vertical="center"/>
    </x:xf>
    <x:xf numFmtId="0" fontId="14" fillId="20" borderId="35" xfId="0" applyNumberFormat="1" applyFont="1" applyFill="1" applyBorder="1" applyAlignment="1">
      <x:alignment vertical="center"/>
    </x:xf>
    <x:xf numFmtId="0" fontId="14" fillId="20" borderId="36" xfId="0" applyNumberFormat="1" applyFont="1" applyFill="1" applyBorder="1" applyAlignment="1">
      <x:alignment vertical="center"/>
    </x:xf>
    <x:xf numFmtId="0" fontId="14" fillId="20" xfId="0" applyNumberFormat="1" applyFont="1" applyFill="1" applyBorder="0" applyAlignment="1">
      <x:alignment vertical="center"/>
    </x:xf>
    <x:xf numFmtId="0" fontId="14" fillId="20" borderId="37" xfId="0" applyNumberFormat="1" applyFont="1" applyFill="1" applyBorder="1" applyAlignment="1">
      <x:alignment vertical="center"/>
    </x:xf>
    <x:xf numFmtId="0" fontId="14" fillId="20" borderId="38" xfId="0" applyNumberFormat="1" applyFont="1" applyFill="1" applyBorder="1" applyAlignment="1">
      <x:alignment vertical="center"/>
    </x:xf>
    <x:xf numFmtId="0" fontId="14" fillId="20" borderId="39" xfId="0" applyNumberFormat="1" applyFont="1" applyFill="1" applyBorder="1" applyAlignment="1">
      <x:alignment vertical="center"/>
    </x:xf>
    <x:xf numFmtId="0" fontId="14" fillId="20" borderId="40" xfId="0" applyNumberFormat="1" applyFont="1" applyFill="1" applyBorder="1" applyAlignment="1">
      <x:alignment vertical="center"/>
    </x:xf>
    <x:xf numFmtId="0" fontId="14" fillId="20" borderId="33" xfId="0" applyNumberFormat="1" applyFont="1" applyFill="1" applyBorder="1" applyAlignment="1">
      <x:alignment vertical="center" wrapText="1"/>
    </x:xf>
    <x:xf numFmtId="0" fontId="14" fillId="20" borderId="34" xfId="0" applyNumberFormat="1" applyFont="1" applyFill="1" applyBorder="1" applyAlignment="1">
      <x:alignment vertical="center" wrapText="1"/>
    </x:xf>
    <x:xf numFmtId="0" fontId="14" fillId="20" borderId="35" xfId="0" applyNumberFormat="1" applyFont="1" applyFill="1" applyBorder="1" applyAlignment="1">
      <x:alignment vertical="center" wrapText="1"/>
    </x:xf>
    <x:xf numFmtId="0" fontId="14" fillId="20" borderId="36" xfId="0" applyNumberFormat="1" applyFont="1" applyFill="1" applyBorder="1" applyAlignment="1">
      <x:alignment vertical="center" wrapText="1"/>
    </x:xf>
    <x:xf numFmtId="0" fontId="14" fillId="20" xfId="0" applyNumberFormat="1" applyFont="1" applyFill="1" applyBorder="0" applyAlignment="1">
      <x:alignment vertical="center" wrapText="1"/>
    </x:xf>
    <x:xf numFmtId="0" fontId="14" fillId="20" borderId="37" xfId="0" applyNumberFormat="1" applyFont="1" applyFill="1" applyBorder="1" applyAlignment="1">
      <x:alignment vertical="center" wrapText="1"/>
    </x:xf>
    <x:xf numFmtId="0" fontId="14" fillId="20" borderId="38" xfId="0" applyNumberFormat="1" applyFont="1" applyFill="1" applyBorder="1" applyAlignment="1">
      <x:alignment vertical="center" wrapText="1"/>
    </x:xf>
    <x:xf numFmtId="0" fontId="14" fillId="20" borderId="39" xfId="0" applyNumberFormat="1" applyFont="1" applyFill="1" applyBorder="1" applyAlignment="1">
      <x:alignment vertical="center" wrapText="1"/>
    </x:xf>
    <x:xf numFmtId="0" fontId="14" fillId="20" borderId="4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/>
    </x:xf>
    <x:xf numFmtId="0" fontId="21" fillId="21" borderId="0" xfId="0" applyNumberFormat="1" applyFont="1" applyFill="1" applyBorder="1" applyAlignment="1">
      <x:alignment vertical="center"/>
    </x:xf>
    <x:xf numFmtId="0" fontId="21" fillId="21" borderId="0" xfId="0" applyNumberFormat="1" applyFont="1" applyFill="1" applyBorder="1" applyAlignment="1">
      <x:alignment vertical="center" wrapText="1"/>
    </x:xf>
    <x:xf numFmtId="0" fontId="21" fillId="21" borderId="0" xfId="0" applyNumberFormat="1" applyFont="1" applyFill="1" applyBorder="1" applyAlignment="1">
      <x:alignment horizontal="center" vertical="center" wrapText="1"/>
    </x:xf>
    <x:xf numFmtId="0" fontId="5" fillId="22" borderId="0" xfId="0" applyNumberFormat="1" applyFont="1" applyFill="1" applyBorder="1" applyAlignment="1">
      <x:alignment horizontal="center" vertical="center" wrapText="1"/>
    </x:xf>
    <x:xf numFmtId="0" fontId="7" fillId="14" borderId="2" xfId="0" applyNumberFormat="1" applyFont="1" applyFill="1" applyBorder="1" applyAlignment="1">
      <x:alignment horizontal="center" vertical="center"/>
    </x:xf>
    <x:xf numFmtId="0" fontId="7" fillId="14" borderId="3" xfId="0" applyNumberFormat="1" applyFont="1" applyFill="1" applyBorder="1" applyAlignment="1">
      <x:alignment horizontal="center" vertical="center"/>
    </x:xf>
    <x:xf numFmtId="0" fontId="7" fillId="14" borderId="4" xfId="0" applyNumberFormat="1" applyFont="1" applyFill="1" applyBorder="1" applyAlignment="1">
      <x:alignment horizontal="center" vertical="center"/>
    </x:xf>
    <x:xf numFmtId="0" fontId="7" fillId="14" borderId="5" xfId="0" applyNumberFormat="1" applyFont="1" applyFill="1" applyBorder="1" applyAlignment="1">
      <x:alignment horizontal="center" vertical="center"/>
    </x:xf>
    <x:xf numFmtId="0" fontId="7" fillId="14" borderId="6" xfId="0" applyNumberFormat="1" applyFont="1" applyFill="1" applyBorder="1" applyAlignment="1">
      <x:alignment horizontal="center" vertical="center"/>
    </x:xf>
    <x:xf numFmtId="0" fontId="7" fillId="14" borderId="7" xfId="0" applyNumberFormat="1" applyFont="1" applyFill="1" applyBorder="1" applyAlignment="1">
      <x:alignment horizontal="center" vertical="center"/>
    </x:xf>
    <x:xf numFmtId="0" fontId="7" fillId="14" borderId="33" xfId="0" applyNumberFormat="1" applyFont="1" applyFill="1" applyBorder="1" applyAlignment="1">
      <x:alignment horizontal="center" vertical="center"/>
    </x:xf>
    <x:xf numFmtId="0" fontId="7" fillId="14" borderId="35" xfId="0" applyNumberFormat="1" applyFont="1" applyFill="1" applyBorder="1" applyAlignment="1">
      <x:alignment horizontal="center" vertical="center"/>
    </x:xf>
    <x:xf numFmtId="0" fontId="7" fillId="14" borderId="36" xfId="0" applyNumberFormat="1" applyFont="1" applyFill="1" applyBorder="1" applyAlignment="1">
      <x:alignment horizontal="center" vertical="center"/>
    </x:xf>
    <x:xf numFmtId="0" fontId="7" fillId="14" borderId="37" xfId="0" applyNumberFormat="1" applyFont="1" applyFill="1" applyBorder="1" applyAlignment="1">
      <x:alignment horizontal="center" vertical="center"/>
    </x:xf>
    <x:xf numFmtId="0" fontId="7" fillId="14" borderId="38" xfId="0" applyNumberFormat="1" applyFont="1" applyFill="1" applyBorder="1" applyAlignment="1">
      <x:alignment horizontal="center" vertical="center"/>
    </x:xf>
    <x:xf numFmtId="0" fontId="7" fillId="14" borderId="40" xfId="0" applyNumberFormat="1" applyFont="1" applyFill="1" applyBorder="1" applyAlignment="1">
      <x:alignment horizontal="center" vertical="center"/>
    </x:xf>
    <x:xf numFmtId="0" fontId="14" fillId="2" xfId="0" applyNumberFormat="1" applyFont="1" applyFill="1" applyBorder="0" applyAlignment="1">
      <x:alignment vertical="center"/>
    </x:xf>
    <x:xf numFmtId="0" fontId="14" fillId="2" xfId="0" applyNumberFormat="1" applyFont="1" applyFill="1" applyBorder="0" applyAlignment="1">
      <x:alignment vertical="center" wrapText="1"/>
    </x:xf>
    <x:xf numFmtId="0" fontId="14" fillId="6" xfId="0" applyNumberFormat="1" applyFont="1" applyFill="1" applyBorder="0" applyAlignment="1">
      <x:alignment vertical="center" wrapText="1"/>
    </x:xf>
    <x:xf numFmtId="0" fontId="14" fillId="5" xfId="0" applyNumberFormat="1" applyFont="1" applyFill="1" applyBorder="0" applyAlignment="1">
      <x:alignment vertical="center" wrapText="1"/>
    </x:xf>
    <x:xf numFmtId="0" fontId="19" fillId="8" borderId="0" xfId="0" applyNumberFormat="1" applyFont="1" applyFill="1" applyBorder="1" applyAlignment="1">
      <x:alignment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20" fillId="6" borderId="0" xfId="0" applyNumberFormat="1" applyFont="1" applyFill="1" applyBorder="1" applyAlignment="1">
      <x:alignment vertical="center"/>
    </x:xf>
    <x:xf numFmtId="0" fontId="20" fillId="6" borderId="0" xfId="0" applyNumberFormat="1" applyFont="1" applyFill="1" applyBorder="1" applyAlignment="1">
      <x:alignment horizontal="center" vertical="center"/>
    </x:xf>
    <x:xf numFmtId="0" fontId="14" fillId="12" xfId="0" applyNumberFormat="1" applyFont="1" applyFill="1" applyBorder="0" applyAlignment="1">
      <x:alignment vertical="center" wrapText="1"/>
    </x:xf>
    <x:xf numFmtId="0" fontId="14" fillId="7" borderId="0" xfId="0" applyNumberFormat="1" applyFont="1" applyFill="1" applyBorder="1" applyAlignment="1">
      <x:alignment vertical="center"/>
    </x:xf>
    <x:xf numFmtId="0" fontId="14" fillId="7" xfId="0" applyNumberFormat="1" applyFont="1" applyFill="1" applyBorder="0" applyAlignment="1">
      <x:alignment vertical="center"/>
    </x:xf>
    <x:xf numFmtId="0" fontId="14" fillId="7" xfId="0" applyNumberFormat="1" applyFont="1" applyFill="1" applyBorder="0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1" fillId="24" borderId="0" xfId="0" applyNumberFormat="1" applyFont="1" applyFill="1" applyBorder="1" applyAlignment="1">
      <x:alignment vertical="center"/>
    </x:xf>
    <x:xf numFmtId="0" fontId="22" fillId="24" borderId="0" xfId="0" applyNumberFormat="1" applyFont="1" applyFill="1" applyBorder="1" applyAlignment="1">
      <x:alignment vertical="center"/>
    </x:xf>
    <x:xf numFmtId="0" fontId="22" fillId="24" borderId="0" xfId="0" applyNumberFormat="1" applyFont="1" applyFill="1" applyBorder="1" applyAlignment="1">
      <x:alignment vertical="center" wrapText="1"/>
    </x:xf>
    <x:xf numFmtId="0" fontId="22" fillId="24" borderId="0" xfId="0" applyNumberFormat="1" applyFont="1" applyFill="1" applyBorder="1" applyAlignment="1">
      <x:alignment horizontal="left" vertical="center" wrapText="1"/>
    </x:xf>
    <x:xf numFmtId="0" fontId="1" fillId="25" borderId="0" xfId="0" applyNumberFormat="1" applyFont="1" applyFill="1" applyBorder="1" applyAlignment="1">
      <x:alignment vertical="center"/>
    </x:xf>
    <x:xf numFmtId="0" fontId="3" fillId="25" borderId="0" xfId="0" applyNumberFormat="1" applyFont="1" applyFill="1" applyBorder="1" applyAlignment="1">
      <x:alignment vertical="center"/>
    </x:xf>
    <x:xf numFmtId="0" fontId="3" fillId="25" borderId="0" xfId="0" applyNumberFormat="1" applyFont="1" applyFill="1" applyBorder="1" applyAlignment="1">
      <x:alignment vertical="center" wrapText="1"/>
    </x:xf>
    <x:xf numFmtId="0" fontId="3" fillId="25" borderId="0" xfId="0" applyNumberFormat="1" applyFont="1" applyFill="1" applyBorder="1" applyAlignment="1">
      <x:alignment horizontal="right" vertical="center" wrapText="1"/>
    </x:xf>
    <x:xf numFmtId="0" fontId="1" fillId="26" borderId="0" xfId="0" applyNumberFormat="1" applyFont="1" applyFill="1" applyBorder="1" applyAlignment="1">
      <x:alignment vertical="center"/>
    </x:xf>
    <x:xf numFmtId="0" fontId="23" fillId="26" borderId="0" xfId="0" applyNumberFormat="1" applyFont="1" applyFill="1" applyBorder="1" applyAlignment="1">
      <x:alignment vertical="center"/>
    </x:xf>
    <x:xf numFmtId="0" fontId="23" fillId="26" borderId="0" xfId="0" applyNumberFormat="1" applyFont="1" applyFill="1" applyBorder="1" applyAlignment="1">
      <x:alignment vertical="center" wrapText="1"/>
    </x:xf>
    <x:xf numFmtId="0" fontId="23" fillId="26" borderId="0" xfId="0" applyNumberFormat="1" applyFont="1" applyFill="1" applyBorder="1" applyAlignment="1">
      <x:alignment horizontal="center" vertical="center" wrapText="1"/>
    </x:xf>
    <x:xf numFmtId="0" fontId="5" fillId="24" borderId="0" xfId="0" applyNumberFormat="1" applyFont="1" applyFill="1" applyBorder="1" applyAlignment="1">
      <x:alignment vertical="center"/>
    </x:xf>
    <x:xf numFmtId="0" fontId="5" fillId="24" borderId="0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14" fillId="23" borderId="0" xfId="0" applyNumberFormat="1" applyFont="1" applyFill="1" applyBorder="1" applyAlignment="1">
      <x:alignment vertical="center"/>
    </x:xf>
    <x:xf numFmtId="0" fontId="14" fillId="23" borderId="0" xfId="0" applyNumberFormat="1" applyFont="1" applyFill="1" applyBorder="1" applyAlignment="1">
      <x:alignment vertical="center" wrapText="1"/>
    </x:xf>
    <x:xf numFmtId="0" fontId="14" fillId="26" borderId="0" xfId="0" applyNumberFormat="1" applyFont="1" applyFill="1" applyBorder="1" applyAlignment="1">
      <x:alignment vertical="center" wrapText="1"/>
    </x:xf>
    <x:xf numFmtId="0" fontId="14" fillId="25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/>
    </x:xf>
    <x:xf numFmtId="0" fontId="24" fillId="27" borderId="0" xfId="0" applyNumberFormat="1" applyFont="1" applyFill="1" applyBorder="1" applyAlignment="1">
      <x:alignment vertical="center"/>
    </x:xf>
    <x:xf numFmtId="0" fontId="24" fillId="27" borderId="0" xfId="0" applyNumberFormat="1" applyFont="1" applyFill="1" applyBorder="1" applyAlignment="1">
      <x:alignment horizontal="center" vertical="center"/>
    </x:xf>
    <x:xf numFmtId="0" fontId="25" fillId="26" borderId="0" xfId="0" applyNumberFormat="1" applyFont="1" applyFill="1" applyBorder="1" applyAlignment="1">
      <x:alignment vertical="center"/>
    </x:xf>
    <x:xf numFmtId="0" fontId="25" fillId="26" borderId="0" xfId="0" applyNumberFormat="1" applyFont="1" applyFill="1" applyBorder="1" applyAlignment="1">
      <x:alignment horizontal="center" vertical="center"/>
    </x:xf>
    <x:xf numFmtId="0" fontId="10" fillId="24" borderId="0" xfId="0" applyNumberFormat="1" applyFont="1" applyFill="1" applyBorder="1" applyAlignment="1">
      <x:alignment vertical="center"/>
    </x:xf>
    <x:xf numFmtId="0" fontId="10" fillId="24" borderId="0" xfId="0" applyNumberFormat="1" applyFont="1" applyFill="1" applyBorder="1" applyAlignment="1">
      <x:alignment vertical="center" wrapText="1"/>
    </x:xf>
    <x:xf numFmtId="0" fontId="10" fillId="24" borderId="0" xfId="0" applyNumberFormat="1" applyFont="1" applyFill="1" applyBorder="1" applyAlignment="1">
      <x:alignment horizontal="center" vertical="center" wrapText="1"/>
    </x:xf>
    <x:xf numFmtId="0" fontId="14" fillId="24" borderId="0" xfId="0" applyNumberFormat="1" applyFont="1" applyFill="1" applyBorder="1" applyAlignment="1">
      <x:alignment vertical="center" wrapText="1"/>
    </x:xf>
    <x:xf numFmtId="0" fontId="14" fillId="28" borderId="0" xfId="0" applyNumberFormat="1" applyFont="1" applyFill="1" applyBorder="1" applyAlignment="1">
      <x:alignment vertical="center" wrapText="1"/>
    </x:xf>
    <x:xf numFmtId="0" fontId="15" fillId="27" borderId="0" xfId="0" applyNumberFormat="1" applyFont="1" applyFill="1" applyBorder="1" applyAlignment="1">
      <x:alignment vertical="center"/>
    </x:xf>
    <x:xf numFmtId="0" fontId="15" fillId="27" borderId="0" xfId="0" applyNumberFormat="1" applyFont="1" applyFill="1" applyBorder="1" applyAlignment="1">
      <x:alignment vertical="center" wrapText="1"/>
    </x:xf>
    <x:xf numFmtId="0" fontId="15" fillId="27" borderId="0" xfId="0" applyNumberFormat="1" applyFont="1" applyFill="1" applyBorder="1" applyAlignment="1">
      <x:alignment horizontal="center" vertical="center" wrapText="1"/>
    </x:xf>
    <x:xf numFmtId="0" fontId="26" fillId="25" borderId="0" xfId="0" applyNumberFormat="1" applyFont="1" applyFill="1" applyBorder="1" applyAlignment="1">
      <x:alignment vertical="center"/>
    </x:xf>
    <x:xf numFmtId="0" fontId="26" fillId="25" borderId="0" xfId="0" applyNumberFormat="1" applyFont="1" applyFill="1" applyBorder="1" applyAlignment="1">
      <x:alignment vertical="center" wrapText="1"/>
    </x:xf>
    <x:xf numFmtId="0" fontId="26" fillId="25" borderId="0" xfId="0" applyNumberFormat="1" applyFont="1" applyFill="1" applyBorder="1" applyAlignment="1">
      <x:alignment horizontal="center" vertical="center" wrapText="1"/>
    </x:xf>
    <x:xf numFmtId="0" fontId="27" fillId="25" borderId="0" xfId="0" applyNumberFormat="1" applyFont="1" applyFill="1" applyBorder="1" applyAlignment="1">
      <x:alignment vertical="center" wrapText="1"/>
    </x:xf>
    <x:xf numFmtId="0" fontId="27" fillId="25" borderId="0" xfId="0" applyNumberFormat="1" applyFont="1" applyFill="1" applyBorder="1" applyAlignment="1">
      <x:alignment horizontal="right" vertical="center" wrapText="1"/>
    </x:xf>
    <x:xf numFmtId="0" fontId="28" fillId="24" borderId="0" xfId="0" applyNumberFormat="1" applyFont="1" applyFill="1" applyBorder="1" applyAlignment="1">
      <x:alignment vertical="center"/>
    </x:xf>
    <x:xf numFmtId="0" fontId="28" fillId="24" borderId="0" xfId="0" applyNumberFormat="1" applyFont="1" applyFill="1" applyBorder="1" applyAlignment="1">
      <x:alignment vertical="center" wrapText="1"/>
    </x:xf>
    <x:xf numFmtId="0" fontId="28" fillId="24" borderId="0" xfId="0" applyNumberFormat="1" applyFont="1" applyFill="1" applyBorder="1" applyAlignment="1">
      <x:alignment horizontal="center" vertical="center" wrapText="1"/>
    </x:xf>
    <x:xf numFmtId="0" fontId="29" fillId="27" borderId="0" xfId="0" applyNumberFormat="1" applyFont="1" applyFill="1" applyBorder="1" applyAlignment="1">
      <x:alignment vertical="center"/>
    </x:xf>
    <x:xf numFmtId="0" fontId="29" fillId="27" borderId="0" xfId="0" applyNumberFormat="1" applyFont="1" applyFill="1" applyBorder="1" applyAlignment="1">
      <x:alignment vertical="center" wrapText="1"/>
    </x:xf>
    <x:xf numFmtId="0" fontId="29" fillId="27" borderId="0" xfId="0" applyNumberFormat="1" applyFont="1" applyFill="1" applyBorder="1" applyAlignment="1">
      <x:alignment horizontal="right" vertical="center" wrapText="1"/>
    </x:xf>
    <x:xf numFmtId="200" fontId="14" fillId="28" borderId="0" xfId="0" applyNumberFormat="1" applyFont="1" applyFill="1" applyBorder="1" applyAlignment="1">
      <x:alignment vertical="center" wrapText="1"/>
    </x:xf>
    <x:xf numFmtId="201" fontId="14" fillId="23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/>
    </x:xf>
    <x:xf numFmtId="0" fontId="30" fillId="25" borderId="0" xfId="0" applyNumberFormat="1" applyFont="1" applyFill="1" applyBorder="1" applyAlignment="1">
      <x:alignment vertical="center"/>
    </x:xf>
    <x:xf numFmtId="0" fontId="30" fillId="25" borderId="0" xfId="0" applyNumberFormat="1" applyFont="1" applyFill="1" applyBorder="1" applyAlignment="1">
      <x:alignment vertical="center" wrapText="1"/>
    </x:xf>
    <x:xf numFmtId="0" fontId="30" fillId="25" borderId="0" xfId="0" applyNumberFormat="1" applyFont="1" applyFill="1" applyBorder="1" applyAlignment="1">
      <x:alignment horizontal="center" vertical="center" wrapText="1"/>
    </x:xf>
    <x:xf numFmtId="0" fontId="2" fillId="24" borderId="0" xfId="0" applyNumberFormat="1" applyFont="1" applyFill="1" applyBorder="1" applyAlignment="1">
      <x:alignment horizontal="left" vertical="center" wrapText="1"/>
    </x:xf>
    <x:xf numFmtId="0" fontId="22" fillId="2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FF7900"/>
      </x:font>
      <x:fill>
        <x:patternFill>
          <x:bgColor rgb="FFFFF3E8"/>
        </x:patternFill>
      </x:fill>
    </x:dxf>
    <x:dxf>
      <x:font>
        <x:b/>
        <x:color rgb="FF50BE87"/>
      </x:font>
      <x:fill>
        <x:patternFill>
          <x:bgColor rgb="FFEAF8F1"/>
        </x:patternFill>
      </x:fill>
    </x:dxf>
    <x:dxf>
      <x:font>
        <x:b/>
        <x:color rgb="FFFF7900"/>
      </x:font>
      <x:fill>
        <x:patternFill>
          <x:bgColor rgb="FFFFF3E8"/>
        </x:patternFill>
      </x:fill>
    </x:dxf>
    <x:dxf>
      <x:font>
        <x:b/>
        <x:color rgb="FF50BE87"/>
      </x:font>
      <x:fill>
        <x:patternFill>
          <x:bgColor rgb="FFEAF8F1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50BE87"/>
      </x:font>
      <x:fill>
        <x:patternFill>
          <x:bgColor rgb="FFEAF8F1"/>
        </x:patternFill>
      </x:fill>
    </x:dxf>
    <x:dxf>
      <x:font>
        <x:b/>
        <x:color rgb="FFFF7900"/>
      </x:font>
      <x:fill>
        <x:patternFill>
          <x:bgColor rgb="FFF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98f26c88e4702" /><Relationship Type="http://schemas.openxmlformats.org/officeDocument/2006/relationships/theme" Target="/xl/theme/theme1.xml" Id="R6272f63336d84328" /><Relationship Type="http://schemas.openxmlformats.org/officeDocument/2006/relationships/sharedStrings" Target="/xl/sharedStrings.xml" Id="R0d01d497a7ef4817" /><Relationship Type="http://schemas.openxmlformats.org/officeDocument/2006/relationships/worksheet" Target="/xl/worksheets/sheet1.xml" Id="Rdebc16db56b74b70" /><Relationship Type="http://schemas.openxmlformats.org/officeDocument/2006/relationships/worksheet" Target="/xl/worksheets/sheet2.xml" Id="R750ecc8b0bb24832" /><Relationship Type="http://schemas.openxmlformats.org/officeDocument/2006/relationships/worksheet" Target="/xl/worksheets/sheet3.xml" Id="Rb693de9cba984ec1" /><Relationship Type="http://schemas.openxmlformats.org/officeDocument/2006/relationships/worksheet" Target="/xl/worksheets/sheet4.xml" Id="Rddf42f6a9dff4853" /><Relationship Type="http://schemas.openxmlformats.org/officeDocument/2006/relationships/worksheet" Target="/xl/worksheets/sheet5.xml" Id="R41ac651a28a94e5e" /><Relationship Type="http://schemas.openxmlformats.org/officeDocument/2006/relationships/worksheet" Target="/xl/worksheets/sheet6.xml" Id="Rdd802dda875f44ed" /><Relationship Type="http://schemas.openxmlformats.org/officeDocument/2006/relationships/worksheet" Target="/xl/worksheets/sheet7.xml" Id="R2a6167e3d3bf46f8" /><Relationship Type="http://schemas.openxmlformats.org/officeDocument/2006/relationships/worksheet" Target="/xl/worksheets/sheet8.xml" Id="R97aa53ca771d4b52" /><Relationship Type="http://schemas.openxmlformats.org/officeDocument/2006/relationships/worksheet" Target="/xl/worksheets/sheet9.xml" Id="R2138a65aefc34e7a" /><Relationship Type="http://schemas.openxmlformats.org/officeDocument/2006/relationships/worksheet" Target="/xl/worksheets/sheet10.xml" Id="Raf71baed6585424e" /><Relationship Type="http://schemas.openxmlformats.org/officeDocument/2006/relationships/worksheet" Target="/xl/worksheets/sheet11.xml" Id="R2a8313024a6d463f" /><Relationship Type="http://schemas.openxmlformats.org/officeDocument/2006/relationships/worksheet" Target="/xl/worksheets/sheet12.xml" Id="Reb19c70054fa4682" /><Relationship Type="http://schemas.openxmlformats.org/officeDocument/2006/relationships/worksheet" Target="/xl/worksheets/sheet13.xml" Id="Re7ad794aca4f4abb" /><Relationship Type="http://schemas.openxmlformats.org/officeDocument/2006/relationships/worksheet" Target="/xl/worksheets/sheet14.xml" Id="R950bcff9729a4f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c93be34738f4d41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4762500" cy="14287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93be34738f4d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97d2f363c7466e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</x:cols>
  <x:sheetData>
    <x:row r="1" ht="21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1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1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21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21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</x:row>
    <x:row r="8" ht="21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</x:row>
    <x:row r="9" ht="7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</x:row>
    <x:row r="10" ht="21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</x:row>
    <x:row r="11" ht="28" customHeight="1">
      <x:c r="A11" s="4"/>
      <x:c r="B11" s="607" t="str">
        <x:v>OPERATIONAL TRAINER PACK • FINAL CROSS-DEPARTMENT COURSE • DAY 1 + DAY 2 + DAY 3</x:v>
      </x:c>
      <x:c r="C11" s="607"/>
      <x:c r="D11" s="607"/>
      <x:c r="E11" s="607"/>
      <x:c r="F11" s="607"/>
      <x:c r="G11" s="607"/>
      <x:c r="H11" s="607"/>
      <x:c r="I11" s="607"/>
      <x:c r="J11" s="607"/>
      <x:c r="K11" s="607"/>
      <x:c r="L11" s="4"/>
    </x:row>
    <x:row r="12" ht="28" customHeight="1">
      <x:c r="A12" s="4"/>
      <x:c r="B12" s="607"/>
      <x:c r="C12" s="607"/>
      <x:c r="D12" s="607"/>
      <x:c r="E12" s="607"/>
      <x:c r="F12" s="607"/>
      <x:c r="G12" s="607"/>
      <x:c r="H12" s="607"/>
      <x:c r="I12" s="607"/>
      <x:c r="J12" s="607"/>
      <x:c r="K12" s="607"/>
      <x:c r="L12" s="4"/>
    </x:row>
    <x:row r="13" ht="28" customHeight="1">
      <x:c r="A13" s="4"/>
      <x:c r="B13" s="607"/>
      <x:c r="C13" s="607"/>
      <x:c r="D13" s="607"/>
      <x:c r="E13" s="607"/>
      <x:c r="F13" s="607"/>
      <x:c r="G13" s="607"/>
      <x:c r="H13" s="607"/>
      <x:c r="I13" s="607"/>
      <x:c r="J13" s="607"/>
      <x:c r="K13" s="607"/>
      <x:c r="L13" s="4"/>
    </x:row>
    <x:row r="14" ht="28" customHeight="1">
      <x:c r="A14" s="4"/>
      <x:c r="B14" s="21" t="str">
        <x:v>غرفة تحكم المدرب • الحضور، التوقيت، الملفات، المتابعة، والإغلاق اليومي</x:v>
      </x:c>
      <x:c r="C14" s="21"/>
      <x:c r="D14" s="21"/>
      <x:c r="E14" s="21"/>
      <x:c r="F14" s="21"/>
      <x:c r="G14" s="21"/>
      <x:c r="H14" s="21"/>
      <x:c r="I14" s="21"/>
      <x:c r="J14" s="21"/>
      <x:c r="K14" s="21"/>
      <x:c r="L14" s="4"/>
    </x:row>
    <x:row r="15" ht="28" customHeight="1">
      <x:c r="A15" s="4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4"/>
    </x:row>
    <x:row r="16" ht="21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30" customHeight="1">
      <x:c r="A17" s="4"/>
      <x:c r="B17" s="29" t="str">
        <x:v>COURSE
Advanced Microsoft Excel</x:v>
      </x:c>
      <x:c r="C17" s="29"/>
      <x:c r="D17" s="29"/>
      <x:c r="E17" s="29"/>
      <x:c r="F17" s="4"/>
      <x:c r="G17" s="36" t="str">
        <x:v>DELIVERY
08–10 Sep 2026 • 09:00–15:00</x:v>
      </x:c>
      <x:c r="H17" s="36"/>
      <x:c r="I17" s="36"/>
      <x:c r="J17" s="36"/>
      <x:c r="K17" s="4"/>
      <x:c r="L17" s="4"/>
    </x:row>
    <x:row r="18" ht="30" customHeight="1">
      <x:c r="A18" s="4"/>
      <x:c r="B18" s="29"/>
      <x:c r="C18" s="29"/>
      <x:c r="D18" s="29"/>
      <x:c r="E18" s="29"/>
      <x:c r="F18" s="4"/>
      <x:c r="G18" s="36"/>
      <x:c r="H18" s="36"/>
      <x:c r="I18" s="36"/>
      <x:c r="J18" s="36"/>
      <x:c r="K18" s="4"/>
      <x:c r="L18" s="4"/>
    </x:row>
    <x:row r="19" ht="3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30" customHeight="1">
      <x:c r="A20" s="4"/>
      <x:c r="B20" s="43" t="str">
        <x:v>TRAINER
Basel Ghanem</x:v>
      </x:c>
      <x:c r="C20" s="43"/>
      <x:c r="D20" s="43"/>
      <x:c r="E20" s="43"/>
      <x:c r="F20" s="4"/>
      <x:c r="G20" s="51" t="str">
        <x:v>CLIENT
Orange Jordan</x:v>
      </x:c>
      <x:c r="H20" s="51"/>
      <x:c r="I20" s="51"/>
      <x:c r="J20" s="51"/>
      <x:c r="K20" s="4"/>
      <x:c r="L20" s="4"/>
    </x:row>
    <x:row r="21" ht="30" customHeight="1">
      <x:c r="A21" s="4"/>
      <x:c r="B21" s="43"/>
      <x:c r="C21" s="43"/>
      <x:c r="D21" s="43"/>
      <x:c r="E21" s="43"/>
      <x:c r="F21" s="4"/>
      <x:c r="G21" s="51"/>
      <x:c r="H21" s="51"/>
      <x:c r="I21" s="51"/>
      <x:c r="J21" s="51"/>
      <x:c r="K21" s="4"/>
      <x:c r="L21" s="4"/>
    </x:row>
    <x:row r="22" ht="21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21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28" customHeight="1">
      <x:c r="A24" s="4"/>
      <x:c r="B24" s="58" t="str">
        <x:v>REGISTERED</x:v>
      </x:c>
      <x:c r="C24" s="58"/>
      <x:c r="D24" s="529" t="str">
        <x:v>DAY 2 PRESENT</x:v>
      </x:c>
      <x:c r="E24" s="529"/>
      <x:c r="F24" s="4"/>
      <x:c r="G24" s="125" t="str">
        <x:v>AVG PRE-ASSESSMENT</x:v>
      </x:c>
      <x:c r="H24" s="125"/>
      <x:c r="I24" s="159" t="str">
        <x:v>NEEDS SUPPORT</x:v>
      </x:c>
      <x:c r="J24" s="159"/>
      <x:c r="K24" s="4"/>
      <x:c r="L24" s="4"/>
    </x:row>
    <x:row r="25" ht="28" customHeight="1">
      <x:c r="A25" s="4"/>
      <x:c r="B25" s="69" t="n">
        <x:f>COUNTA('01_ATTENDANCE'!A8:A27)</x:f>
        <x:v>0</x:v>
      </x:c>
      <x:c r="C25" s="70"/>
      <x:c r="D25" s="536" t="n">
        <x:f>COUNTIF('01_ATTENDANCE'!E8:E27,"Present")+COUNTIF('01_ATTENDANCE'!E8:E27,"Late")</x:f>
        <x:v>0</x:v>
      </x:c>
      <x:c r="E25" s="537"/>
      <x:c r="F25" s="4"/>
      <x:c r="G25" s="137" t="n">
        <x:f>IFERROR(AVERAGE('04_PARTICIPANT_NOTES'!C8:C27),0)</x:f>
        <x:v>0</x:v>
      </x:c>
      <x:c r="H25" s="138"/>
      <x:c r="I25" s="171" t="n">
        <x:f>COUNTIF('04_PARTICIPANT_NOTES'!E8:E27,"High")</x:f>
        <x:v>0</x:v>
      </x:c>
      <x:c r="J25" s="172"/>
      <x:c r="K25" s="4"/>
      <x:c r="L25" s="4"/>
    </x:row>
    <x:row r="26" ht="28" customHeight="1">
      <x:c r="A26" s="4"/>
      <x:c r="B26" s="71"/>
      <x:c r="C26" s="72"/>
      <x:c r="D26" s="538"/>
      <x:c r="E26" s="539"/>
      <x:c r="F26" s="4"/>
      <x:c r="G26" s="139"/>
      <x:c r="H26" s="140"/>
      <x:c r="I26" s="173"/>
      <x:c r="J26" s="174"/>
      <x:c r="K26" s="4"/>
      <x:c r="L26" s="4"/>
    </x:row>
    <x:row r="27" ht="28" customHeight="1">
      <x:c r="A27" s="4"/>
      <x:c r="B27" s="73"/>
      <x:c r="C27" s="74"/>
      <x:c r="D27" s="540"/>
      <x:c r="E27" s="541"/>
      <x:c r="F27" s="4"/>
      <x:c r="G27" s="141"/>
      <x:c r="H27" s="142"/>
      <x:c r="I27" s="175"/>
      <x:c r="J27" s="176"/>
      <x:c r="K27" s="4"/>
      <x:c r="L27" s="4"/>
    </x:row>
    <x:row r="28" ht="21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26" customHeight="1">
      <x:c r="A30" s="4"/>
      <x:c r="B30" s="192" t="str">
        <x:v>COURSE DESIGN  •  Customer Care / Operations → HR → Commercial → Power Query → Network → Dashboard → Finance / Back Office.</x:v>
      </x:c>
      <x:c r="C30" s="192"/>
      <x:c r="D30" s="192"/>
      <x:c r="E30" s="192"/>
      <x:c r="F30" s="192"/>
      <x:c r="G30" s="192"/>
      <x:c r="H30" s="192"/>
      <x:c r="I30" s="192"/>
      <x:c r="J30" s="192"/>
      <x:c r="K30" s="4"/>
      <x:c r="L30" s="4"/>
    </x:row>
    <x:row r="31" ht="26" customHeight="1">
      <x:c r="A31" s="4"/>
      <x:c r="B31" s="192"/>
      <x:c r="C31" s="192"/>
      <x:c r="D31" s="192"/>
      <x:c r="E31" s="192"/>
      <x:c r="F31" s="192"/>
      <x:c r="G31" s="192"/>
      <x:c r="H31" s="192"/>
      <x:c r="I31" s="192"/>
      <x:c r="J31" s="192"/>
      <x:c r="K31" s="4"/>
      <x:c r="L31" s="4"/>
    </x:row>
    <x:row r="32" ht="26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26" customHeight="1">
      <x:c r="A33" s="4"/>
      <x:c r="B33" s="198" t="str">
        <x:v>قاعدة تشغيلية  •  الأمثلة موزعة على أقسام مختلفة في Orange، لكن مهارات Excel نفسها Cross-Functional لكل المتدربين.</x:v>
      </x:c>
      <x:c r="C33" s="198"/>
      <x:c r="D33" s="198"/>
      <x:c r="E33" s="198"/>
      <x:c r="F33" s="198"/>
      <x:c r="G33" s="198"/>
      <x:c r="H33" s="198"/>
      <x:c r="I33" s="198"/>
      <x:c r="J33" s="198"/>
      <x:c r="K33" s="4"/>
      <x:c r="L33" s="4"/>
    </x:row>
    <x:row r="34" ht="26" customHeight="1">
      <x:c r="A34" s="4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4"/>
      <x:c r="L34" s="4"/>
    </x:row>
    <x:row r="35" ht="21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21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</x:sheetData>
  <x:mergeCells>
    <x:mergeCell ref="B14:K15"/>
    <x:mergeCell ref="B17:E18"/>
    <x:mergeCell ref="G17:J18"/>
    <x:mergeCell ref="B20:E21"/>
    <x:mergeCell ref="G20:J21"/>
    <x:mergeCell ref="B24:C24"/>
    <x:mergeCell ref="B25:C27"/>
    <x:mergeCell ref="G24:H24"/>
    <x:mergeCell ref="G25:H27"/>
    <x:mergeCell ref="I24:J24"/>
    <x:mergeCell ref="I25:J27"/>
    <x:mergeCell ref="B30:J31"/>
    <x:mergeCell ref="B33:J34"/>
    <x:mergeCell ref="D24:E24"/>
    <x:mergeCell ref="D25:E27"/>
    <x:mergeCell ref="B11:K13"/>
  </x:mergeCells>
  <x:pageMargins left="0.7" right="0.7" top="0.75" bottom="0.75" header="0.3" footer="0.3"/>
  <x:drawing xmlns:r="http://schemas.openxmlformats.org/officeDocument/2006/relationships" r:id="R9a97d2f363c7466e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</x:cols>
  <x:sheetData>
    <x:row r="1" ht="21" customHeight="1">
      <x:c r="A1" s="204" t="str">
        <x:v>ATTENDANCE • 08–10 SEP 2026</x:v>
      </x:c>
      <x:c r="B1" s="204"/>
      <x:c r="C1" s="204"/>
      <x:c r="D1" s="204"/>
      <x:c r="E1" s="204"/>
      <x:c r="F1" s="204"/>
      <x:c r="G1" s="204"/>
      <x:c r="H1" s="204"/>
    </x:row>
    <x:row r="2" ht="21" customHeight="1">
      <x:c r="A2" s="204"/>
      <x:c r="B2" s="204"/>
      <x:c r="C2" s="204"/>
      <x:c r="D2" s="204"/>
      <x:c r="E2" s="204"/>
      <x:c r="F2" s="204"/>
      <x:c r="G2" s="204"/>
      <x:c r="H2" s="204"/>
    </x:row>
    <x:row r="3" ht="21" customHeight="1">
      <x:c r="A3" s="21" t="str">
        <x:v>سجل الحضور اليومي • استخدم القوائم المنسدلة لتوحيد الحالات</x:v>
      </x:c>
      <x:c r="B3" s="21"/>
      <x:c r="C3" s="21"/>
      <x:c r="D3" s="21"/>
      <x:c r="E3" s="21"/>
      <x:c r="F3" s="21"/>
      <x:c r="G3" s="21"/>
      <x:c r="H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</x:row>
    <x:row r="5" ht="21" customHeight="1">
      <x:c r="A5" s="210" t="str">
        <x:v>Status options: Present • Late • Absent • Excused</x:v>
      </x:c>
      <x:c r="B5" s="210"/>
      <x:c r="C5" s="210"/>
      <x:c r="D5" s="210"/>
      <x:c r="E5" s="210"/>
      <x:c r="F5" s="210"/>
      <x:c r="G5" s="210"/>
      <x:c r="H5" s="210"/>
    </x:row>
    <x:row r="6" ht="21" customHeight="1">
      <x:c r="A6" s="4"/>
      <x:c r="B6" s="4"/>
      <x:c r="C6" s="4"/>
      <x:c r="D6" s="4"/>
      <x:c r="E6" s="4"/>
      <x:c r="F6" s="4"/>
      <x:c r="G6" s="4"/>
      <x:c r="H6" s="4"/>
    </x:row>
    <x:row r="7" ht="21" customHeight="1">
      <x:c r="A7" s="221" t="str">
        <x:v>Participant Name</x:v>
      </x:c>
      <x:c r="B7" s="222" t="str">
        <x:v>Department</x:v>
      </x:c>
      <x:c r="C7" s="222" t="str">
        <x:v>Pre-Assessment Score</x:v>
      </x:c>
      <x:c r="D7" s="222" t="str">
        <x:v>Day 1
08-Sep</x:v>
      </x:c>
      <x:c r="E7" s="222" t="str">
        <x:v>Day 2
09-Sep</x:v>
      </x:c>
      <x:c r="F7" s="222" t="str">
        <x:v>Day 3
10-Sep</x:v>
      </x:c>
      <x:c r="G7" s="222" t="str">
        <x:v>Days Attended</x:v>
      </x:c>
      <x:c r="H7" s="223" t="str">
        <x:v>Attendance Notes</x:v>
      </x:c>
    </x:row>
    <x:row r="8" ht="21" customHeight="1">
      <x:c r="A8" s="243"/>
      <x:c r="B8" s="244"/>
      <x:c r="C8" s="270"/>
      <x:c r="D8" s="270"/>
      <x:c r="E8" s="270"/>
      <x:c r="F8" s="270"/>
      <x:c r="G8" s="285" t="n">
        <x:f>COUNTIF(D8:F8,"Present")+COUNTIF(D8:F8,"Late")</x:f>
        <x:v>0</x:v>
      </x:c>
      <x:c r="H8" s="245"/>
    </x:row>
    <x:row r="9" ht="21" customHeight="1">
      <x:c r="A9" s="246"/>
      <x:c r="B9" s="247"/>
      <x:c r="C9" s="271"/>
      <x:c r="D9" s="271"/>
      <x:c r="E9" s="271"/>
      <x:c r="F9" s="271"/>
      <x:c r="G9" s="286" t="n">
        <x:f>COUNTIF(D9:F9,"Present")+COUNTIF(D9:F9,"Late")</x:f>
        <x:v>0</x:v>
      </x:c>
      <x:c r="H9" s="248"/>
    </x:row>
    <x:row r="10" ht="21" customHeight="1">
      <x:c r="A10" s="246"/>
      <x:c r="B10" s="247"/>
      <x:c r="C10" s="271"/>
      <x:c r="D10" s="271"/>
      <x:c r="E10" s="271"/>
      <x:c r="F10" s="271"/>
      <x:c r="G10" s="286" t="n">
        <x:f>COUNTIF(D10:F10,"Present")+COUNTIF(D10:F10,"Late")</x:f>
        <x:v>0</x:v>
      </x:c>
      <x:c r="H10" s="248"/>
    </x:row>
    <x:row r="11" ht="21" customHeight="1">
      <x:c r="A11" s="246"/>
      <x:c r="B11" s="247"/>
      <x:c r="C11" s="271"/>
      <x:c r="D11" s="271"/>
      <x:c r="E11" s="271"/>
      <x:c r="F11" s="271"/>
      <x:c r="G11" s="286" t="n">
        <x:f>COUNTIF(D11:F11,"Present")+COUNTIF(D11:F11,"Late")</x:f>
        <x:v>0</x:v>
      </x:c>
      <x:c r="H11" s="248"/>
    </x:row>
    <x:row r="12" ht="21" customHeight="1">
      <x:c r="A12" s="246"/>
      <x:c r="B12" s="247"/>
      <x:c r="C12" s="271"/>
      <x:c r="D12" s="271"/>
      <x:c r="E12" s="271"/>
      <x:c r="F12" s="271"/>
      <x:c r="G12" s="286" t="n">
        <x:f>COUNTIF(D12:F12,"Present")+COUNTIF(D12:F12,"Late")</x:f>
        <x:v>0</x:v>
      </x:c>
      <x:c r="H12" s="248"/>
    </x:row>
    <x:row r="13" ht="21" customHeight="1">
      <x:c r="A13" s="246"/>
      <x:c r="B13" s="247"/>
      <x:c r="C13" s="271"/>
      <x:c r="D13" s="271"/>
      <x:c r="E13" s="271"/>
      <x:c r="F13" s="271"/>
      <x:c r="G13" s="286" t="n">
        <x:f>COUNTIF(D13:F13,"Present")+COUNTIF(D13:F13,"Late")</x:f>
        <x:v>0</x:v>
      </x:c>
      <x:c r="H13" s="248"/>
    </x:row>
    <x:row r="14" ht="21" customHeight="1">
      <x:c r="A14" s="246"/>
      <x:c r="B14" s="247"/>
      <x:c r="C14" s="271"/>
      <x:c r="D14" s="271"/>
      <x:c r="E14" s="271"/>
      <x:c r="F14" s="271"/>
      <x:c r="G14" s="286" t="n">
        <x:f>COUNTIF(D14:F14,"Present")+COUNTIF(D14:F14,"Late")</x:f>
        <x:v>0</x:v>
      </x:c>
      <x:c r="H14" s="248"/>
    </x:row>
    <x:row r="15" ht="21" customHeight="1">
      <x:c r="A15" s="246"/>
      <x:c r="B15" s="247"/>
      <x:c r="C15" s="271"/>
      <x:c r="D15" s="271"/>
      <x:c r="E15" s="271"/>
      <x:c r="F15" s="271"/>
      <x:c r="G15" s="286" t="n">
        <x:f>COUNTIF(D15:F15,"Present")+COUNTIF(D15:F15,"Late")</x:f>
        <x:v>0</x:v>
      </x:c>
      <x:c r="H15" s="248"/>
    </x:row>
    <x:row r="16" ht="21" customHeight="1">
      <x:c r="A16" s="246"/>
      <x:c r="B16" s="247"/>
      <x:c r="C16" s="271"/>
      <x:c r="D16" s="271"/>
      <x:c r="E16" s="271"/>
      <x:c r="F16" s="271"/>
      <x:c r="G16" s="286" t="n">
        <x:f>COUNTIF(D16:F16,"Present")+COUNTIF(D16:F16,"Late")</x:f>
        <x:v>0</x:v>
      </x:c>
      <x:c r="H16" s="248"/>
    </x:row>
    <x:row r="17" ht="21" customHeight="1">
      <x:c r="A17" s="246"/>
      <x:c r="B17" s="247"/>
      <x:c r="C17" s="271"/>
      <x:c r="D17" s="271"/>
      <x:c r="E17" s="271"/>
      <x:c r="F17" s="271"/>
      <x:c r="G17" s="286" t="n">
        <x:f>COUNTIF(D17:F17,"Present")+COUNTIF(D17:F17,"Late")</x:f>
        <x:v>0</x:v>
      </x:c>
      <x:c r="H17" s="248"/>
    </x:row>
    <x:row r="18" ht="21" customHeight="1">
      <x:c r="A18" s="246"/>
      <x:c r="B18" s="247"/>
      <x:c r="C18" s="271"/>
      <x:c r="D18" s="271"/>
      <x:c r="E18" s="271"/>
      <x:c r="F18" s="271"/>
      <x:c r="G18" s="286" t="n">
        <x:f>COUNTIF(D18:F18,"Present")+COUNTIF(D18:F18,"Late")</x:f>
        <x:v>0</x:v>
      </x:c>
      <x:c r="H18" s="248"/>
    </x:row>
    <x:row r="19" ht="21" customHeight="1">
      <x:c r="A19" s="246"/>
      <x:c r="B19" s="247"/>
      <x:c r="C19" s="271"/>
      <x:c r="D19" s="271"/>
      <x:c r="E19" s="271"/>
      <x:c r="F19" s="271"/>
      <x:c r="G19" s="286" t="n">
        <x:f>COUNTIF(D19:F19,"Present")+COUNTIF(D19:F19,"Late")</x:f>
        <x:v>0</x:v>
      </x:c>
      <x:c r="H19" s="248"/>
    </x:row>
    <x:row r="20" ht="21" customHeight="1">
      <x:c r="A20" s="246"/>
      <x:c r="B20" s="247"/>
      <x:c r="C20" s="271"/>
      <x:c r="D20" s="271"/>
      <x:c r="E20" s="271"/>
      <x:c r="F20" s="271"/>
      <x:c r="G20" s="286" t="n">
        <x:f>COUNTIF(D20:F20,"Present")+COUNTIF(D20:F20,"Late")</x:f>
        <x:v>0</x:v>
      </x:c>
      <x:c r="H20" s="248"/>
    </x:row>
    <x:row r="21" ht="21" customHeight="1">
      <x:c r="A21" s="246"/>
      <x:c r="B21" s="247"/>
      <x:c r="C21" s="271"/>
      <x:c r="D21" s="271"/>
      <x:c r="E21" s="271"/>
      <x:c r="F21" s="271"/>
      <x:c r="G21" s="286" t="n">
        <x:f>COUNTIF(D21:F21,"Present")+COUNTIF(D21:F21,"Late")</x:f>
        <x:v>0</x:v>
      </x:c>
      <x:c r="H21" s="248"/>
    </x:row>
    <x:row r="22" ht="21" customHeight="1">
      <x:c r="A22" s="246"/>
      <x:c r="B22" s="247"/>
      <x:c r="C22" s="271"/>
      <x:c r="D22" s="271"/>
      <x:c r="E22" s="271"/>
      <x:c r="F22" s="271"/>
      <x:c r="G22" s="286" t="n">
        <x:f>COUNTIF(D22:F22,"Present")+COUNTIF(D22:F22,"Late")</x:f>
        <x:v>0</x:v>
      </x:c>
      <x:c r="H22" s="248"/>
    </x:row>
    <x:row r="23" ht="21" customHeight="1">
      <x:c r="A23" s="246"/>
      <x:c r="B23" s="247"/>
      <x:c r="C23" s="271"/>
      <x:c r="D23" s="271"/>
      <x:c r="E23" s="271"/>
      <x:c r="F23" s="271"/>
      <x:c r="G23" s="286" t="n">
        <x:f>COUNTIF(D23:F23,"Present")+COUNTIF(D23:F23,"Late")</x:f>
        <x:v>0</x:v>
      </x:c>
      <x:c r="H23" s="248"/>
    </x:row>
    <x:row r="24" ht="21" customHeight="1">
      <x:c r="A24" s="246"/>
      <x:c r="B24" s="247"/>
      <x:c r="C24" s="271"/>
      <x:c r="D24" s="271"/>
      <x:c r="E24" s="271"/>
      <x:c r="F24" s="271"/>
      <x:c r="G24" s="286" t="n">
        <x:f>COUNTIF(D24:F24,"Present")+COUNTIF(D24:F24,"Late")</x:f>
        <x:v>0</x:v>
      </x:c>
      <x:c r="H24" s="248"/>
    </x:row>
    <x:row r="25" ht="21" customHeight="1">
      <x:c r="A25" s="246"/>
      <x:c r="B25" s="247"/>
      <x:c r="C25" s="271"/>
      <x:c r="D25" s="271"/>
      <x:c r="E25" s="271"/>
      <x:c r="F25" s="271"/>
      <x:c r="G25" s="286" t="n">
        <x:f>COUNTIF(D25:F25,"Present")+COUNTIF(D25:F25,"Late")</x:f>
        <x:v>0</x:v>
      </x:c>
      <x:c r="H25" s="248"/>
    </x:row>
    <x:row r="26" ht="21" customHeight="1">
      <x:c r="A26" s="246"/>
      <x:c r="B26" s="247"/>
      <x:c r="C26" s="271"/>
      <x:c r="D26" s="271"/>
      <x:c r="E26" s="271"/>
      <x:c r="F26" s="271"/>
      <x:c r="G26" s="286" t="n">
        <x:f>COUNTIF(D26:F26,"Present")+COUNTIF(D26:F26,"Late")</x:f>
        <x:v>0</x:v>
      </x:c>
      <x:c r="H26" s="248"/>
    </x:row>
    <x:row r="27" ht="21" customHeight="1">
      <x:c r="A27" s="249"/>
      <x:c r="B27" s="250"/>
      <x:c r="C27" s="272"/>
      <x:c r="D27" s="272"/>
      <x:c r="E27" s="272"/>
      <x:c r="F27" s="272"/>
      <x:c r="G27" s="287" t="n">
        <x:f>COUNTIF(D27:F27,"Present")+COUNTIF(D27:F27,"Late")</x:f>
        <x:v>0</x:v>
      </x:c>
      <x:c r="H27" s="251"/>
    </x:row>
    <x:row r="28" ht="21" customHeight="1">
      <x:c r="A28" s="4"/>
      <x:c r="B28" s="4"/>
      <x:c r="C28" s="4"/>
      <x:c r="D28" s="4"/>
      <x:c r="E28" s="4"/>
      <x:c r="F28" s="4"/>
      <x:c r="G28" s="4"/>
      <x:c r="H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</x:row>
    <x:row r="30" ht="21" customHeight="1">
      <x:c r="A30" s="301" t="str">
        <x:v>DAY 1 PRESENT</x:v>
      </x:c>
      <x:c r="B30" s="301"/>
      <x:c r="C30" s="305" t="n">
        <x:f>COUNTIF(D8:D27,"Present")+COUNTIF(D8:D27,"Late")</x:f>
        <x:v>0</x:v>
      </x:c>
      <x:c r="D30" s="301" t="str">
        <x:v>ABSENT</x:v>
      </x:c>
      <x:c r="E30" s="301"/>
      <x:c r="F30" s="310" t="n">
        <x:f>COUNTIF(D8:D27,"Absent")</x:f>
        <x:v>0</x:v>
      </x:c>
      <x:c r="G30" s="4"/>
      <x:c r="H30" s="4"/>
    </x:row>
    <x:row r="31" ht="21" customHeight="1">
      <x:c r="A31" s="4"/>
      <x:c r="B31" s="4"/>
      <x:c r="C31" s="4"/>
      <x:c r="D31" s="4"/>
      <x:c r="E31" s="4"/>
      <x:c r="F31" s="4"/>
      <x:c r="G31" s="4"/>
      <x:c r="H31" s="4"/>
    </x:row>
    <x:row r="32" ht="21" customHeight="1">
      <x:c r="A32" s="4"/>
      <x:c r="B32" s="4"/>
      <x:c r="C32" s="4"/>
      <x:c r="D32" s="4"/>
      <x:c r="E32" s="4"/>
      <x:c r="F32" s="4"/>
      <x:c r="G32" s="4"/>
      <x:c r="H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</x:row>
  </x:sheetData>
  <x:mergeCells>
    <x:mergeCell ref="A1:H2"/>
    <x:mergeCell ref="A3:H3"/>
    <x:mergeCell ref="A5:H5"/>
    <x:mergeCell ref="A30:B30"/>
    <x:mergeCell ref="D30:E30"/>
  </x:mergeCells>
  <x:conditionalFormatting sqref="D8:F27">
    <x:cfRule type="expression" dxfId="0" priority="1">
      <x:formula>D8="Absent"</x:formula>
    </x:cfRule>
    <x:cfRule type="expression" dxfId="1" priority="2">
      <x:formula>D8="Late"</x:formula>
    </x:cfRule>
    <x:cfRule type="expression" dxfId="2" priority="3">
      <x:formula>D8="Present"</x:formula>
    </x:cfRule>
  </x:conditionalFormatting>
  <x:dataValidations count="2">
    <x:dataValidation type="list" sqref="D8:F27">
      <x:formula1>"Present,Late,Absent,Excused"</x:formula1>
    </x:dataValidation>
    <x:dataValidation operator="between" sqref="C8:C27">
      <x:formula1>0</x:formula1>
      <x:formula2>15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23" hidden="0" customWidth="1"/>
    <x:col min="5" max="5" width="42" hidden="0" customWidth="1"/>
    <x:col min="6" max="6" width="32" hidden="0" customWidth="1"/>
    <x:col min="7" max="7" width="24" hidden="0" customWidth="1"/>
    <x:col min="8" max="8" width="54" hidden="0" customWidth="1"/>
    <x:col min="9" max="9" width="18" hidden="0" customWidth="1"/>
    <x:col min="10" max="10" width="18" hidden="0" customWidth="1"/>
  </x:cols>
  <x:sheetData>
    <x:row r="1" ht="21" customHeight="1">
      <x:c r="A1" s="204" t="str">
        <x:v>DAY 1 RUN SHEET • 09:00–15:00</x:v>
      </x:c>
      <x:c r="B1" s="204"/>
      <x:c r="C1" s="204"/>
      <x:c r="D1" s="204"/>
      <x:c r="E1" s="204"/>
      <x:c r="F1" s="204"/>
      <x:c r="G1" s="204"/>
      <x:c r="H1" s="204"/>
      <x:c r="I1" s="204"/>
      <x:c r="J1" s="204"/>
    </x:row>
    <x:row r="2" ht="21" customHeight="1">
      <x:c r="A2" s="204"/>
      <x:c r="B2" s="204"/>
      <x:c r="C2" s="204"/>
      <x:c r="D2" s="204"/>
      <x:c r="E2" s="204"/>
      <x:c r="F2" s="204"/>
      <x:c r="G2" s="204"/>
      <x:c r="H2" s="204"/>
      <x:c r="I2" s="204"/>
      <x:c r="J2" s="204"/>
    </x:row>
    <x:row r="3" ht="21" customHeight="1">
      <x:c r="A3" s="21" t="str">
        <x:v>خريطة تشغيلية واقعية لليوم الأول • تشمل التقييم والاستراحات والتطبيق</x:v>
      </x:c>
      <x:c r="B3" s="21"/>
      <x:c r="C3" s="21"/>
      <x:c r="D3" s="21"/>
      <x:c r="E3" s="21"/>
      <x:c r="F3" s="21"/>
      <x:c r="G3" s="21"/>
      <x:c r="H3" s="21"/>
      <x:c r="I3" s="21"/>
      <x:c r="J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1" customHeight="1">
      <x:c r="A5" s="210" t="str">
        <x:v>Operational pacing is intentionally tighter than the module Trainer Flow sheets so the full 09:00–15:00 day includes assessment, breaks and the integrated assignment.</x:v>
      </x:c>
      <x:c r="B5" s="210"/>
      <x:c r="C5" s="210"/>
      <x:c r="D5" s="210"/>
      <x:c r="E5" s="210"/>
      <x:c r="F5" s="210"/>
      <x:c r="G5" s="210"/>
      <x:c r="H5" s="210"/>
      <x:c r="I5" s="210"/>
      <x:c r="J5" s="210"/>
    </x:row>
    <x:row r="6" ht="21" customHeight="1">
      <x:c r="A6" s="210"/>
      <x:c r="B6" s="210"/>
      <x:c r="C6" s="210"/>
      <x:c r="D6" s="210"/>
      <x:c r="E6" s="210"/>
      <x:c r="F6" s="210"/>
      <x:c r="G6" s="210"/>
      <x:c r="H6" s="210"/>
      <x:c r="I6" s="210"/>
      <x:c r="J6" s="210"/>
    </x:row>
    <x:row r="7" ht="21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</x:row>
    <x:row r="8" ht="54" customHeight="1">
      <x:c r="A8" s="221" t="str">
        <x:v>Start</x:v>
      </x:c>
      <x:c r="B8" s="222" t="str">
        <x:v>End</x:v>
      </x:c>
      <x:c r="C8" s="222" t="str">
        <x:v>Min</x:v>
      </x:c>
      <x:c r="D8" s="222" t="str">
        <x:v>Block</x:v>
      </x:c>
      <x:c r="E8" s="222" t="str">
        <x:v>Trainer Focus</x:v>
      </x:c>
      <x:c r="F8" s="222" t="str">
        <x:v>Learner Action</x:v>
      </x:c>
      <x:c r="G8" s="222" t="str">
        <x:v>Checkpoint / Decision</x:v>
      </x:c>
      <x:c r="H8" s="222" t="str">
        <x:v>File / Sheet</x:v>
      </x:c>
      <x:c r="I8" s="222" t="str">
        <x:v>Reveal?</x:v>
      </x:c>
      <x:c r="J8" s="223" t="str">
        <x:v>Notes</x:v>
      </x:c>
    </x:row>
    <x:row r="9" ht="54" customHeight="1">
      <x:c r="A9" s="314" t="str">
        <x:v>09:00</x:v>
      </x:c>
      <x:c r="B9" s="315" t="str">
        <x:v>09:12</x:v>
      </x:c>
      <x:c r="C9" s="315" t="n">
        <x:v>12</x:v>
      </x:c>
      <x:c r="D9" s="331" t="str">
        <x:v>Pre-Assessment</x:v>
      </x:c>
      <x:c r="E9" s="244" t="str">
        <x:v>Launch Microsoft Form, confirm all submissions.</x:v>
      </x:c>
      <x:c r="F9" s="244" t="str">
        <x:v>Complete 15-question assessment.</x:v>
      </x:c>
      <x:c r="G9" s="244" t="str">
        <x:v>Identify room level before teaching.</x:v>
      </x:c>
      <x:c r="H9" s="244" t="str">
        <x:v>MS Forms</x:v>
      </x:c>
      <x:c r="I9" s="342" t="str">
        <x:v>No</x:v>
      </x:c>
      <x:c r="J9" s="245" t="str"/>
    </x:row>
    <x:row r="10" ht="54" customHeight="1">
      <x:c r="A10" s="316" t="str">
        <x:v>09:12</x:v>
      </x:c>
      <x:c r="B10" s="317" t="str">
        <x:v>10:32</x:v>
      </x:c>
      <x:c r="C10" s="317" t="n">
        <x:v>80</x:v>
      </x:c>
      <x:c r="D10" s="332" t="str">
        <x:v>Module 01 • Logic &amp; Criteria • Customer Care / Operations</x:v>
      </x:c>
      <x:c r="E10" s="247" t="str">
        <x:v>SLA decisions → escalation rules → IFERROR → SUMIFS/COUNTIFS/AVERAGEIFS.</x:v>
      </x:c>
      <x:c r="F10" s="247" t="str">
        <x:v>Follow story, demo, practice, challenge.</x:v>
      </x:c>
      <x:c r="G10" s="247" t="str">
        <x:v>If &gt;30% struggle with IF, slow down before AND/OR.</x:v>
      </x:c>
      <x:c r="H10" s="247" t="str">
        <x:v>01_Advanced_Formulas_Logical_Functions_CODERZ_DAY1_CUSTOMER_CARE_FINAL.xlsx</x:v>
      </x:c>
      <x:c r="I10" s="343" t="str">
        <x:v>Answer Key only after challenge</x:v>
      </x:c>
      <x:c r="J10" s="248" t="str"/>
    </x:row>
    <x:row r="11" ht="54" customHeight="1">
      <x:c r="A11" s="316" t="str">
        <x:v>10:32</x:v>
      </x:c>
      <x:c r="B11" s="317" t="str">
        <x:v>10:47</x:v>
      </x:c>
      <x:c r="C11" s="317" t="n">
        <x:v>15</x:v>
      </x:c>
      <x:c r="D11" s="332" t="str">
        <x:v>Break</x:v>
      </x:c>
      <x:c r="E11" s="247" t="str">
        <x:v>Reset room, note support cases.</x:v>
      </x:c>
      <x:c r="F11" s="247" t="str">
        <x:v>Break.</x:v>
      </x:c>
      <x:c r="G11" s="247" t="str">
        <x:v>Check attendance and devices.</x:v>
      </x:c>
      <x:c r="H11" s="247" t="str">
        <x:v>—</x:v>
      </x:c>
      <x:c r="I11" s="343" t="str">
        <x:v>—</x:v>
      </x:c>
      <x:c r="J11" s="248" t="str"/>
    </x:row>
    <x:row r="12" ht="54" customHeight="1">
      <x:c r="A12" s="316" t="str">
        <x:v>10:47</x:v>
      </x:c>
      <x:c r="B12" s="317" t="str">
        <x:v>12:02</x:v>
      </x:c>
      <x:c r="C12" s="317" t="n">
        <x:v>75</x:v>
      </x:c>
      <x:c r="D12" s="332" t="str">
        <x:v>Module 02 • XLOOKUP &amp; Arrays • HR</x:v>
      </x:c>
      <x:c r="E12" s="247" t="str">
        <x:v>Employee lookup → multi-column return → FILTER/UNIQUE/SORT → ranking → #SPILL!.</x:v>
      </x:c>
      <x:c r="F12" s="247" t="str">
        <x:v>Lookup practice + dynamic arrays.</x:v>
      </x:c>
      <x:c r="G12" s="247" t="str">
        <x:v>If spill concept is weak, repeat blocker demo.</x:v>
      </x:c>
      <x:c r="H12" s="247" t="str">
        <x:v>02_XLOOKUP_Dynamic_Arrays_CODERZ_DAY1_HR_FINAL.xlsx</x:v>
      </x:c>
      <x:c r="I12" s="343" t="str">
        <x:v>Answer Key after final challenge</x:v>
      </x:c>
      <x:c r="J12" s="248" t="str"/>
    </x:row>
    <x:row r="13" ht="54" customHeight="1">
      <x:c r="A13" s="316" t="str">
        <x:v>12:02</x:v>
      </x:c>
      <x:c r="B13" s="317" t="str">
        <x:v>12:22</x:v>
      </x:c>
      <x:c r="C13" s="317" t="n">
        <x:v>20</x:v>
      </x:c>
      <x:c r="D13" s="332" t="str">
        <x:v>Break</x:v>
      </x:c>
      <x:c r="E13" s="247" t="str">
        <x:v>Quick review of participant notes.</x:v>
      </x:c>
      <x:c r="F13" s="247" t="str">
        <x:v>Break.</x:v>
      </x:c>
      <x:c r="G13" s="247" t="str">
        <x:v>Mark anyone needing 1:1 help.</x:v>
      </x:c>
      <x:c r="H13" s="247" t="str">
        <x:v>—</x:v>
      </x:c>
      <x:c r="I13" s="343" t="str">
        <x:v>—</x:v>
      </x:c>
      <x:c r="J13" s="248" t="str"/>
    </x:row>
    <x:row r="14" ht="54" customHeight="1">
      <x:c r="A14" s="316" t="str">
        <x:v>12:22</x:v>
      </x:c>
      <x:c r="B14" s="317" t="str">
        <x:v>14:22</x:v>
      </x:c>
      <x:c r="C14" s="317" t="n">
        <x:v>120</x:v>
      </x:c>
      <x:c r="D14" s="332" t="str">
        <x:v>Module 03 • Text &amp; Dates</x:v>
      </x:c>
      <x:c r="E14" s="247" t="str">
        <x:v>TEXTBEFORE/TEXTAFTER/TEXTSPLIT → type checks → date intelligence.</x:v>
      </x:c>
      <x:c r="F14" s="247" t="str">
        <x:v>Parse, validate, date/SLA practice.</x:v>
      </x:c>
      <x:c r="G14" s="247" t="str">
        <x:v>Protect at least 25 min for final combined case.</x:v>
      </x:c>
      <x:c r="H14" s="247" t="str">
        <x:v>03_Advanced_Text_Date_Functions_CODERZ_DAY1_FINAL.xlsx</x:v>
      </x:c>
      <x:c r="I14" s="343" t="str">
        <x:v>Answer Key after combined case</x:v>
      </x:c>
      <x:c r="J14" s="248" t="str"/>
    </x:row>
    <x:row r="15" ht="54" customHeight="1">
      <x:c r="A15" s="316" t="str">
        <x:v>14:22</x:v>
      </x:c>
      <x:c r="B15" s="317" t="str">
        <x:v>14:52</x:v>
      </x:c>
      <x:c r="C15" s="317" t="n">
        <x:v>30</x:v>
      </x:c>
      <x:c r="D15" s="332" t="str">
        <x:v>Integrated Assignment</x:v>
      </x:c>
      <x:c r="E15" s="247" t="str">
        <x:v>Observe, coach logic, avoid giving formulas.</x:v>
      </x:c>
      <x:c r="F15" s="247" t="str">
        <x:v>Complete cross-module business assignment.</x:v>
      </x:c>
      <x:c r="G15" s="247" t="str">
        <x:v>Score process + logic, not just final output.</x:v>
      </x:c>
      <x:c r="H15" s="247" t="str">
        <x:v>04_Day1_Integrated_Assignment_CODERZ.xlsx</x:v>
      </x:c>
      <x:c r="I15" s="343" t="str">
        <x:v>Trainer Check after attempt</x:v>
      </x:c>
      <x:c r="J15" s="248" t="str"/>
    </x:row>
    <x:row r="16" ht="54" customHeight="1">
      <x:c r="A16" s="318" t="str">
        <x:v>14:52</x:v>
      </x:c>
      <x:c r="B16" s="319" t="str">
        <x:v>15:00</x:v>
      </x:c>
      <x:c r="C16" s="319" t="n">
        <x:v>8</x:v>
      </x:c>
      <x:c r="D16" s="333" t="str">
        <x:v>Exit Check + Close</x:v>
      </x:c>
      <x:c r="E16" s="250" t="str">
        <x:v>Ask 5 rapid questions; confirm Day 2 bridge.</x:v>
      </x:c>
      <x:c r="F16" s="250" t="str">
        <x:v>Submit/answer exit check; save files.</x:v>
      </x:c>
      <x:c r="G16" s="250" t="str">
        <x:v>Capture top 3 support needs for tomorrow.</x:v>
      </x:c>
      <x:c r="H16" s="250" t="str">
        <x:v>Operational Pack / verbal or MS Forms</x:v>
      </x:c>
      <x:c r="I16" s="344" t="str">
        <x:v>No</x:v>
      </x:c>
      <x:c r="J16" s="251" t="str"/>
    </x:row>
    <x:row r="17" ht="21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21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21" customHeight="1">
      <x:c r="A19" s="301" t="str">
        <x:v>TOTAL PLANNED MINUTES</x:v>
      </x:c>
      <x:c r="B19" s="301"/>
      <x:c r="C19" s="301"/>
      <x:c r="D19" s="305" t="n">
        <x:f>SUM(C9:C16)</x:f>
        <x:v>360</x:v>
      </x:c>
      <x:c r="E19" s="4"/>
      <x:c r="F19" s="301" t="str">
        <x:v>TARGET</x:v>
      </x:c>
      <x:c r="G19" s="301"/>
      <x:c r="H19" s="301"/>
      <x:c r="I19" s="349" t="n">
        <x:v>360</x:v>
      </x:c>
      <x:c r="J19" s="4"/>
    </x:row>
    <x:row r="20" ht="21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21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21" customHeight="1">
      <x:c r="A22" s="301" t="str">
        <x:v>FLEX RULE  •  If you lose 10–15 minutes, reduce explanation time — never delete the learner practice or final challenge.</x:v>
      </x:c>
      <x:c r="B22" s="301"/>
      <x:c r="C22" s="301"/>
      <x:c r="D22" s="301"/>
      <x:c r="E22" s="301"/>
      <x:c r="F22" s="301"/>
      <x:c r="G22" s="301"/>
      <x:c r="H22" s="301"/>
      <x:c r="I22" s="301"/>
      <x:c r="J22" s="301"/>
    </x:row>
    <x:row r="23" ht="21" customHeight="1">
      <x:c r="A23" s="301"/>
      <x:c r="B23" s="301"/>
      <x:c r="C23" s="301"/>
      <x:c r="D23" s="301"/>
      <x:c r="E23" s="301"/>
      <x:c r="F23" s="301"/>
      <x:c r="G23" s="301"/>
      <x:c r="H23" s="301"/>
      <x:c r="I23" s="301"/>
      <x:c r="J23" s="301"/>
    </x:row>
    <x:row r="24" ht="21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21" customHeight="1">
      <x:c r="A25" s="198" t="str">
        <x:v>إذا تأخرت بالوقت  •  اختصر الكلام، لا تختصر التطبيق. الأولوية دائماً للـPractice والـChallenge.</x:v>
      </x:c>
      <x:c r="B25" s="198"/>
      <x:c r="C25" s="198"/>
      <x:c r="D25" s="198"/>
      <x:c r="E25" s="198"/>
      <x:c r="F25" s="198"/>
      <x:c r="G25" s="198"/>
      <x:c r="H25" s="198"/>
      <x:c r="I25" s="198"/>
      <x:c r="J25" s="198"/>
    </x:row>
    <x:row r="26" ht="21" customHeight="1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</x:row>
    <x:row r="27" ht="21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21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1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21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21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</x:sheetData>
  <x:mergeCells>
    <x:mergeCell ref="A1:J2"/>
    <x:mergeCell ref="A3:J3"/>
    <x:mergeCell ref="A5:J6"/>
    <x:mergeCell ref="A19:C19"/>
    <x:mergeCell ref="F19:H19"/>
    <x:mergeCell ref="A22:J23"/>
    <x:mergeCell ref="A25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0" hidden="0" customWidth="1"/>
    <x:col min="3" max="3" width="24" hidden="0" customWidth="1"/>
    <x:col min="4" max="4" width="29" hidden="0" customWidth="1"/>
    <x:col min="5" max="5" width="31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1" customHeight="1">
      <x:c r="A1" s="204" t="str">
        <x:v>FILE CONTROL • OPEN ORDER &amp; REVEAL RULES</x:v>
      </x:c>
      <x:c r="B1" s="204"/>
      <x:c r="C1" s="204"/>
      <x:c r="D1" s="204"/>
      <x:c r="E1" s="204"/>
      <x:c r="F1" s="204"/>
      <x:c r="G1" s="204"/>
      <x:c r="H1" s="204"/>
      <x:c r="I1" s="204"/>
    </x:row>
    <x:row r="2" ht="21" customHeight="1">
      <x:c r="A2" s="204"/>
      <x:c r="B2" s="204"/>
      <x:c r="C2" s="204"/>
      <x:c r="D2" s="204"/>
      <x:c r="E2" s="204"/>
      <x:c r="F2" s="204"/>
      <x:c r="G2" s="204"/>
      <x:c r="H2" s="204"/>
      <x:c r="I2" s="204"/>
    </x:row>
    <x:row r="3" ht="21" customHeight="1">
      <x:c r="A3" s="21" t="str">
        <x:v>ترتيب فتح الملفات وما الذي يظهر للمتدرب ومتى</x:v>
      </x:c>
      <x:c r="B3" s="21"/>
      <x:c r="C3" s="21"/>
      <x:c r="D3" s="21"/>
      <x:c r="E3" s="21"/>
      <x:c r="F3" s="21"/>
      <x:c r="G3" s="21"/>
      <x:c r="H3" s="21"/>
      <x:c r="I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21" customHeight="1">
      <x:c r="A5" s="4"/>
      <x:c r="B5" s="4"/>
      <x:c r="C5" s="4"/>
      <x:c r="D5" s="4"/>
      <x:c r="E5" s="4"/>
      <x:c r="F5" s="4"/>
      <x:c r="G5" s="4"/>
      <x:c r="H5" s="4"/>
      <x:c r="I5" s="4"/>
    </x:row>
    <x:row r="6" ht="48" customHeight="1">
      <x:c r="A6" s="221" t="str">
        <x:v>#</x:v>
      </x:c>
      <x:c r="B6" s="222" t="str">
        <x:v>FILE</x:v>
      </x:c>
      <x:c r="C6" s="222" t="str">
        <x:v>ROLE</x:v>
      </x:c>
      <x:c r="D6" s="222" t="str">
        <x:v>OPEN WHEN</x:v>
      </x:c>
      <x:c r="E6" s="222" t="str">
        <x:v>TRAINER-ONLY SHEET</x:v>
      </x:c>
      <x:c r="F6" s="222" t="str">
        <x:v>REVEAL RULE</x:v>
      </x:c>
      <x:c r="G6" s="222" t="str">
        <x:v>BACKUP READY?</x:v>
      </x:c>
      <x:c r="H6" s="222" t="str">
        <x:v>TESTED?</x:v>
      </x:c>
      <x:c r="I6" s="223" t="str">
        <x:v>Notes</x:v>
      </x:c>
    </x:row>
    <x:row r="7" ht="48" customHeight="1">
      <x:c r="A7" s="358" t="n">
        <x:v>1</x:v>
      </x:c>
      <x:c r="B7" s="326" t="str">
        <x:v>Microsoft Forms • Pre-Assessment</x:v>
      </x:c>
      <x:c r="C7" s="244" t="str">
        <x:v>Assessment</x:v>
      </x:c>
      <x:c r="D7" s="244" t="str">
        <x:v>09:00</x:v>
      </x:c>
      <x:c r="E7" s="342" t="str">
        <x:v>—</x:v>
      </x:c>
      <x:c r="F7" s="342" t="str">
        <x:v>Do not show score bands before submission.</x:v>
      </x:c>
      <x:c r="G7" s="270" t="str">
        <x:v>No</x:v>
      </x:c>
      <x:c r="H7" s="270" t="str">
        <x:v>No</x:v>
      </x:c>
      <x:c r="I7" s="245" t="str"/>
    </x:row>
    <x:row r="8" ht="48" customHeight="1">
      <x:c r="A8" s="359" t="n">
        <x:v>2</x:v>
      </x:c>
      <x:c r="B8" s="327" t="str">
        <x:v>01_Advanced_Formulas_Logical_Functions_CODERZ_DAY1_CUSTOMER_CARE_FINAL.xlsx</x:v>
      </x:c>
      <x:c r="C8" s="247" t="str">
        <x:v>Module 01 • Customer Care / Operations</x:v>
      </x:c>
      <x:c r="D8" s="247" t="str">
        <x:v>09:12</x:v>
      </x:c>
      <x:c r="E8" s="343" t="str">
        <x:v>12_ANSWER_KEY / 13_TRAINER_FLOW</x:v>
      </x:c>
      <x:c r="F8" s="343" t="str">
        <x:v>Answer Key only after final challenge.</x:v>
      </x:c>
      <x:c r="G8" s="271" t="str">
        <x:v>No</x:v>
      </x:c>
      <x:c r="H8" s="271" t="str">
        <x:v>No</x:v>
      </x:c>
      <x:c r="I8" s="248" t="str"/>
    </x:row>
    <x:row r="9" ht="48" customHeight="1">
      <x:c r="A9" s="359" t="n">
        <x:v>3</x:v>
      </x:c>
      <x:c r="B9" s="327" t="str">
        <x:v>02_XLOOKUP_Dynamic_Arrays_CODERZ_DAY1_HR_FINAL.xlsx</x:v>
      </x:c>
      <x:c r="C9" s="247" t="str">
        <x:v>Module 02 • HR</x:v>
      </x:c>
      <x:c r="D9" s="247" t="str">
        <x:v>10:47</x:v>
      </x:c>
      <x:c r="E9" s="343" t="str">
        <x:v>11_ANSWER_KEY / 12_TRAINER_FLOW</x:v>
      </x:c>
      <x:c r="F9" s="343" t="str">
        <x:v>Answer Key only after final challenge.</x:v>
      </x:c>
      <x:c r="G9" s="271" t="str">
        <x:v>No</x:v>
      </x:c>
      <x:c r="H9" s="271" t="str">
        <x:v>No</x:v>
      </x:c>
      <x:c r="I9" s="248" t="str"/>
    </x:row>
    <x:row r="10" ht="48" customHeight="1">
      <x:c r="A10" s="359" t="n">
        <x:v>4</x:v>
      </x:c>
      <x:c r="B10" s="327" t="str">
        <x:v>03_Advanced_Text_Date_Functions_CODERZ_DAY1_FINAL.xlsx</x:v>
      </x:c>
      <x:c r="C10" s="247" t="str">
        <x:v>Module 03</x:v>
      </x:c>
      <x:c r="D10" s="247" t="str">
        <x:v>12:22</x:v>
      </x:c>
      <x:c r="E10" s="343" t="str">
        <x:v>07_ANSWER_KEY / 08_TRAINER_FLOW</x:v>
      </x:c>
      <x:c r="F10" s="343" t="str">
        <x:v>Answer Key only after combined case.</x:v>
      </x:c>
      <x:c r="G10" s="271" t="str">
        <x:v>No</x:v>
      </x:c>
      <x:c r="H10" s="271" t="str">
        <x:v>No</x:v>
      </x:c>
      <x:c r="I10" s="248" t="str"/>
    </x:row>
    <x:row r="11" ht="48" customHeight="1">
      <x:c r="A11" s="359" t="n">
        <x:v>5</x:v>
      </x:c>
      <x:c r="B11" s="327" t="str">
        <x:v>04_Day1_Integrated_Assignment_CODERZ.xlsx</x:v>
      </x:c>
      <x:c r="C11" s="247" t="str">
        <x:v>Day 1 Assignment</x:v>
      </x:c>
      <x:c r="D11" s="247" t="str">
        <x:v>14:22</x:v>
      </x:c>
      <x:c r="E11" s="343" t="str">
        <x:v>07_ANSWER_KEY / 08_TRAINER_CHECK</x:v>
      </x:c>
      <x:c r="F11" s="343" t="str">
        <x:v>Reveal patterns only after learner attempt.</x:v>
      </x:c>
      <x:c r="G11" s="271" t="str">
        <x:v>No</x:v>
      </x:c>
      <x:c r="H11" s="271" t="str">
        <x:v>No</x:v>
      </x:c>
      <x:c r="I11" s="248" t="str"/>
    </x:row>
    <x:row r="12" ht="48" customHeight="1">
      <x:c r="A12" s="360" t="n">
        <x:v>6</x:v>
      </x:c>
      <x:c r="B12" s="328" t="str">
        <x:v>Operational Trainer Pack</x:v>
      </x:c>
      <x:c r="C12" s="250" t="str">
        <x:v>Trainer Operations</x:v>
      </x:c>
      <x:c r="D12" s="250" t="str">
        <x:v>Before 09:00</x:v>
      </x:c>
      <x:c r="E12" s="344" t="str">
        <x:v>All sheets</x:v>
      </x:c>
      <x:c r="F12" s="344" t="str">
        <x:v>Trainer only — never distribute to learners.</x:v>
      </x:c>
      <x:c r="G12" s="272" t="str">
        <x:v>No</x:v>
      </x:c>
      <x:c r="H12" s="272" t="str">
        <x:v>No</x:v>
      </x:c>
      <x:c r="I12" s="251" t="str"/>
    </x:row>
    <x:row r="13" ht="21" customHeight="1">
      <x:c r="A13" s="4"/>
      <x:c r="B13" s="4"/>
      <x:c r="C13" s="4"/>
      <x:c r="D13" s="4"/>
      <x:c r="E13" s="4"/>
      <x:c r="F13" s="4"/>
      <x:c r="G13" s="4"/>
      <x:c r="H13" s="4"/>
      <x:c r="I13" s="4"/>
    </x:row>
    <x:row r="14" ht="21" customHeight="1">
      <x:c r="A14" s="4"/>
      <x:c r="B14" s="4"/>
      <x:c r="C14" s="4"/>
      <x:c r="D14" s="4"/>
      <x:c r="E14" s="4"/>
      <x:c r="F14" s="4"/>
      <x:c r="G14" s="4"/>
      <x:c r="H14" s="4"/>
      <x:c r="I14" s="4"/>
    </x:row>
    <x:row r="15" ht="21" customHeight="1">
      <x:c r="A15" s="210" t="str">
        <x:v>PRE-ROOM CHECK • Open every workbook once in desktop Excel before participants arrive.</x:v>
      </x:c>
      <x:c r="B15" s="210"/>
      <x:c r="C15" s="210"/>
      <x:c r="D15" s="210"/>
      <x:c r="E15" s="210"/>
      <x:c r="F15" s="210"/>
      <x:c r="G15" s="210"/>
      <x:c r="H15" s="210"/>
      <x:c r="I15" s="210"/>
    </x:row>
    <x:row r="16" ht="21" customHeight="1">
      <x:c r="A16" s="210"/>
      <x:c r="B16" s="210"/>
      <x:c r="C16" s="210"/>
      <x:c r="D16" s="210"/>
      <x:c r="E16" s="210"/>
      <x:c r="F16" s="210"/>
      <x:c r="G16" s="210"/>
      <x:c r="H16" s="210"/>
      <x:c r="I16" s="210"/>
    </x:row>
    <x:row r="17" ht="21" customHeight="1">
      <x:c r="A17" s="4"/>
      <x:c r="B17" s="4"/>
      <x:c r="C17" s="4"/>
      <x:c r="D17" s="4"/>
      <x:c r="E17" s="4"/>
      <x:c r="F17" s="4"/>
      <x:c r="G17" s="4"/>
      <x:c r="H17" s="4"/>
      <x:c r="I17" s="4"/>
    </x:row>
    <x:row r="18" ht="21" customHeight="1">
      <x:c r="A18" s="198" t="str">
        <x:v>تأكد قبل بداية الدورة  •  كل ملف يفتح بدون Repair Message، الشعار ظاهر، والـAnswer Key غير ظاهر للمتدربين.</x:v>
      </x:c>
      <x:c r="B18" s="198"/>
      <x:c r="C18" s="198"/>
      <x:c r="D18" s="198"/>
      <x:c r="E18" s="198"/>
      <x:c r="F18" s="198"/>
      <x:c r="G18" s="198"/>
      <x:c r="H18" s="198"/>
      <x:c r="I18" s="198"/>
    </x:row>
    <x:row r="19" ht="21" customHeight="1">
      <x:c r="A19" s="198"/>
      <x:c r="B19" s="198"/>
      <x:c r="C19" s="198"/>
      <x:c r="D19" s="198"/>
      <x:c r="E19" s="198"/>
      <x:c r="F19" s="198"/>
      <x:c r="G19" s="198"/>
      <x:c r="H19" s="198"/>
      <x:c r="I19" s="198"/>
    </x:row>
    <x:row r="20" ht="21" customHeight="1">
      <x:c r="A20" s="4"/>
      <x:c r="B20" s="4"/>
      <x:c r="C20" s="4"/>
      <x:c r="D20" s="4"/>
      <x:c r="E20" s="4"/>
      <x:c r="F20" s="4"/>
      <x:c r="G20" s="4"/>
      <x:c r="H20" s="4"/>
      <x:c r="I20" s="4"/>
    </x:row>
    <x:row r="21" ht="21" customHeight="1">
      <x:c r="A21" s="4"/>
      <x:c r="B21" s="4"/>
      <x:c r="C21" s="4"/>
      <x:c r="D21" s="4"/>
      <x:c r="E21" s="4"/>
      <x:c r="F21" s="4"/>
      <x:c r="G21" s="4"/>
      <x:c r="H21" s="4"/>
      <x:c r="I21" s="4"/>
    </x:row>
    <x:row r="22" ht="21" customHeight="1">
      <x:c r="A22" s="4"/>
      <x:c r="B22" s="4"/>
      <x:c r="C22" s="4"/>
      <x:c r="D22" s="4"/>
      <x:c r="E22" s="4"/>
      <x:c r="F22" s="4"/>
      <x:c r="G22" s="4"/>
      <x:c r="H22" s="4"/>
      <x:c r="I22" s="4"/>
    </x:row>
    <x:row r="23" ht="21" customHeight="1">
      <x:c r="A23" s="4"/>
      <x:c r="B23" s="4"/>
      <x:c r="C23" s="4"/>
      <x:c r="D23" s="4"/>
      <x:c r="E23" s="4"/>
      <x:c r="F23" s="4"/>
      <x:c r="G23" s="4"/>
      <x:c r="H23" s="4"/>
      <x:c r="I23" s="4"/>
    </x:row>
    <x:row r="24" ht="21" customHeight="1">
      <x:c r="A24" s="4"/>
      <x:c r="B24" s="4"/>
      <x:c r="C24" s="4"/>
      <x:c r="D24" s="4"/>
      <x:c r="E24" s="4"/>
      <x:c r="F24" s="4"/>
      <x:c r="G24" s="4"/>
      <x:c r="H24" s="4"/>
      <x:c r="I24" s="4"/>
    </x:row>
    <x:row r="25" ht="21" customHeight="1">
      <x:c r="A25" s="4"/>
      <x:c r="B25" s="4"/>
      <x:c r="C25" s="4"/>
      <x:c r="D25" s="4"/>
      <x:c r="E25" s="4"/>
      <x:c r="F25" s="4"/>
      <x:c r="G25" s="4"/>
      <x:c r="H25" s="4"/>
      <x:c r="I25" s="4"/>
    </x:row>
    <x:row r="26" ht="21" customHeight="1">
      <x:c r="A26" s="4"/>
      <x:c r="B26" s="4"/>
      <x:c r="C26" s="4"/>
      <x:c r="D26" s="4"/>
      <x:c r="E26" s="4"/>
      <x:c r="F26" s="4"/>
      <x:c r="G26" s="4"/>
      <x:c r="H26" s="4"/>
      <x:c r="I26" s="4"/>
    </x:row>
    <x:row r="27" ht="21" customHeight="1">
      <x:c r="A27" s="4"/>
      <x:c r="B27" s="4"/>
      <x:c r="C27" s="4"/>
      <x:c r="D27" s="4"/>
      <x:c r="E27" s="4"/>
      <x:c r="F27" s="4"/>
      <x:c r="G27" s="4"/>
      <x:c r="H27" s="4"/>
      <x:c r="I27" s="4"/>
    </x:row>
    <x:row r="28" ht="21" customHeight="1">
      <x:c r="A28" s="4"/>
      <x:c r="B28" s="4"/>
      <x:c r="C28" s="4"/>
      <x:c r="D28" s="4"/>
      <x:c r="E28" s="4"/>
      <x:c r="F28" s="4"/>
      <x:c r="G28" s="4"/>
      <x:c r="H28" s="4"/>
      <x:c r="I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  <x:c r="I29" s="4"/>
    </x:row>
    <x:row r="30" ht="21" customHeight="1">
      <x:c r="A30" s="4"/>
      <x:c r="B30" s="4"/>
      <x:c r="C30" s="4"/>
      <x:c r="D30" s="4"/>
      <x:c r="E30" s="4"/>
      <x:c r="F30" s="4"/>
      <x:c r="G30" s="4"/>
      <x:c r="H30" s="4"/>
      <x:c r="I30" s="4"/>
    </x:row>
    <x:row r="31" ht="21" customHeight="1">
      <x:c r="A31" s="4"/>
      <x:c r="B31" s="4"/>
      <x:c r="C31" s="4"/>
      <x:c r="D31" s="4"/>
      <x:c r="E31" s="4"/>
      <x:c r="F31" s="4"/>
      <x:c r="G31" s="4"/>
      <x:c r="H31" s="4"/>
      <x:c r="I31" s="4"/>
    </x:row>
    <x:row r="32" ht="21" customHeight="1">
      <x:c r="A32" s="4"/>
      <x:c r="B32" s="4"/>
      <x:c r="C32" s="4"/>
      <x:c r="D32" s="4"/>
      <x:c r="E32" s="4"/>
      <x:c r="F32" s="4"/>
      <x:c r="G32" s="4"/>
      <x:c r="H32" s="4"/>
      <x:c r="I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  <x:c r="I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  <x:c r="I34" s="4"/>
    </x:row>
    <x:row r="35" ht="21" customHeight="1">
      <x:c r="A35" s="4"/>
      <x:c r="B35" s="4"/>
      <x:c r="C35" s="4"/>
      <x:c r="D35" s="4"/>
      <x:c r="E35" s="4"/>
      <x:c r="F35" s="4"/>
      <x:c r="G35" s="4"/>
      <x:c r="H35" s="4"/>
      <x:c r="I35" s="4"/>
    </x:row>
    <x:row r="36" ht="21" customHeight="1">
      <x:c r="A36" s="4"/>
      <x:c r="B36" s="4"/>
      <x:c r="C36" s="4"/>
      <x:c r="D36" s="4"/>
      <x:c r="E36" s="4"/>
      <x:c r="F36" s="4"/>
      <x:c r="G36" s="4"/>
      <x:c r="H36" s="4"/>
      <x:c r="I36" s="4"/>
    </x:row>
  </x:sheetData>
  <x:mergeCells>
    <x:mergeCell ref="A1:I2"/>
    <x:mergeCell ref="A3:I3"/>
    <x:mergeCell ref="A15:I16"/>
    <x:mergeCell ref="A18:I19"/>
  </x:mergeCells>
  <x:dataValidations count="1">
    <x:dataValidation type="list" sqref="G7:H12">
      <x:formula1>"No,Yes"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13" hidden="0" customWidth="1"/>
    <x:col min="4" max="4" width="16" hidden="0" customWidth="1"/>
    <x:col min="5" max="5" width="15" hidden="0" customWidth="1"/>
    <x:col min="6" max="6" width="20" hidden="0" customWidth="1"/>
    <x:col min="7" max="7" width="30" hidden="0" customWidth="1"/>
    <x:col min="8" max="8" width="32" hidden="0" customWidth="1"/>
    <x:col min="9" max="9" width="32" hidden="0" customWidth="1"/>
    <x:col min="10" max="10" width="32" hidden="0" customWidth="1"/>
  </x:cols>
  <x:sheetData>
    <x:row r="1" ht="21" customHeight="1">
      <x:c r="A1" s="204" t="str">
        <x:v>PARTICIPANT NOTES • SUPPORT MAP</x:v>
      </x:c>
      <x:c r="B1" s="204"/>
      <x:c r="C1" s="204"/>
      <x:c r="D1" s="204"/>
      <x:c r="E1" s="204"/>
      <x:c r="F1" s="204"/>
      <x:c r="G1" s="204"/>
      <x:c r="H1" s="204"/>
      <x:c r="I1" s="204"/>
      <x:c r="J1" s="204"/>
    </x:row>
    <x:row r="2" ht="21" customHeight="1">
      <x:c r="A2" s="204"/>
      <x:c r="B2" s="204"/>
      <x:c r="C2" s="204"/>
      <x:c r="D2" s="204"/>
      <x:c r="E2" s="204"/>
      <x:c r="F2" s="204"/>
      <x:c r="G2" s="204"/>
      <x:c r="H2" s="204"/>
      <x:c r="I2" s="204"/>
      <x:c r="J2" s="204"/>
    </x:row>
    <x:row r="3" ht="21" customHeight="1">
      <x:c r="A3" s="21" t="str">
        <x:v>خريطة دعم سريعة • مين يحتاج متابعة، وبأي موضوع، قبل اليوم الثاني</x:v>
      </x:c>
      <x:c r="B3" s="21"/>
      <x:c r="C3" s="21"/>
      <x:c r="D3" s="21"/>
      <x:c r="E3" s="21"/>
      <x:c r="F3" s="21"/>
      <x:c r="G3" s="21"/>
      <x:c r="H3" s="21"/>
      <x:c r="I3" s="21"/>
      <x:c r="J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1" customHeight="1">
      <x:c r="A5" s="210" t="str">
        <x:v>Use short operational notes only. The goal is to improve facilitation, not to create a performance record.</x:v>
      </x:c>
      <x:c r="B5" s="210"/>
      <x:c r="C5" s="210"/>
      <x:c r="D5" s="210"/>
      <x:c r="E5" s="210"/>
      <x:c r="F5" s="210"/>
      <x:c r="G5" s="210"/>
      <x:c r="H5" s="210"/>
      <x:c r="I5" s="210"/>
      <x:c r="J5" s="210"/>
    </x:row>
    <x:row r="6" ht="21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32" customHeight="1">
      <x:c r="A7" s="221" t="str">
        <x:v>Participant Name</x:v>
      </x:c>
      <x:c r="B7" s="222" t="str">
        <x:v>Department</x:v>
      </x:c>
      <x:c r="C7" s="222" t="str">
        <x:v>Pre-Assessment
0–15</x:v>
      </x:c>
      <x:c r="D7" s="222" t="str">
        <x:v>Assessed Level</x:v>
      </x:c>
      <x:c r="E7" s="222" t="str">
        <x:v>Support Priority</x:v>
      </x:c>
      <x:c r="F7" s="222" t="str">
        <x:v>Confidence</x:v>
      </x:c>
      <x:c r="G7" s="222" t="str">
        <x:v>Topics Needing Support</x:v>
      </x:c>
      <x:c r="H7" s="222" t="str">
        <x:v>Day 1 Observation</x:v>
      </x:c>
      <x:c r="I7" s="222" t="str">
        <x:v>Day 2 Action</x:v>
      </x:c>
      <x:c r="J7" s="223" t="str">
        <x:v>Follow-up Done?</x:v>
      </x:c>
    </x:row>
    <x:row r="8" ht="32" customHeight="1">
      <x:c r="A8" s="243"/>
      <x:c r="B8" s="244"/>
      <x:c r="C8" s="270"/>
      <x:c r="D8" s="270"/>
      <x:c r="E8" s="270"/>
      <x:c r="F8" s="270"/>
      <x:c r="G8" s="370"/>
      <x:c r="H8" s="370"/>
      <x:c r="I8" s="370"/>
      <x:c r="J8" s="371"/>
    </x:row>
    <x:row r="9" ht="32" customHeight="1">
      <x:c r="A9" s="246"/>
      <x:c r="B9" s="247"/>
      <x:c r="C9" s="271"/>
      <x:c r="D9" s="271"/>
      <x:c r="E9" s="271"/>
      <x:c r="F9" s="271"/>
      <x:c r="G9" s="372"/>
      <x:c r="H9" s="372"/>
      <x:c r="I9" s="372"/>
      <x:c r="J9" s="373"/>
    </x:row>
    <x:row r="10" ht="32" customHeight="1">
      <x:c r="A10" s="246"/>
      <x:c r="B10" s="247"/>
      <x:c r="C10" s="271"/>
      <x:c r="D10" s="271"/>
      <x:c r="E10" s="271"/>
      <x:c r="F10" s="271"/>
      <x:c r="G10" s="372"/>
      <x:c r="H10" s="372"/>
      <x:c r="I10" s="372"/>
      <x:c r="J10" s="373"/>
    </x:row>
    <x:row r="11" ht="32" customHeight="1">
      <x:c r="A11" s="246"/>
      <x:c r="B11" s="247"/>
      <x:c r="C11" s="271"/>
      <x:c r="D11" s="271"/>
      <x:c r="E11" s="271"/>
      <x:c r="F11" s="271"/>
      <x:c r="G11" s="372"/>
      <x:c r="H11" s="372"/>
      <x:c r="I11" s="372"/>
      <x:c r="J11" s="373"/>
    </x:row>
    <x:row r="12" ht="32" customHeight="1">
      <x:c r="A12" s="246"/>
      <x:c r="B12" s="247"/>
      <x:c r="C12" s="271"/>
      <x:c r="D12" s="271"/>
      <x:c r="E12" s="271"/>
      <x:c r="F12" s="271"/>
      <x:c r="G12" s="372"/>
      <x:c r="H12" s="372"/>
      <x:c r="I12" s="372"/>
      <x:c r="J12" s="373"/>
    </x:row>
    <x:row r="13" ht="32" customHeight="1">
      <x:c r="A13" s="246"/>
      <x:c r="B13" s="247"/>
      <x:c r="C13" s="271"/>
      <x:c r="D13" s="271"/>
      <x:c r="E13" s="271"/>
      <x:c r="F13" s="271"/>
      <x:c r="G13" s="372"/>
      <x:c r="H13" s="372"/>
      <x:c r="I13" s="372"/>
      <x:c r="J13" s="373"/>
    </x:row>
    <x:row r="14" ht="32" customHeight="1">
      <x:c r="A14" s="246"/>
      <x:c r="B14" s="247"/>
      <x:c r="C14" s="271"/>
      <x:c r="D14" s="271"/>
      <x:c r="E14" s="271"/>
      <x:c r="F14" s="271"/>
      <x:c r="G14" s="372"/>
      <x:c r="H14" s="372"/>
      <x:c r="I14" s="372"/>
      <x:c r="J14" s="373"/>
    </x:row>
    <x:row r="15" ht="32" customHeight="1">
      <x:c r="A15" s="246"/>
      <x:c r="B15" s="247"/>
      <x:c r="C15" s="271"/>
      <x:c r="D15" s="271"/>
      <x:c r="E15" s="271"/>
      <x:c r="F15" s="271"/>
      <x:c r="G15" s="372"/>
      <x:c r="H15" s="372"/>
      <x:c r="I15" s="372"/>
      <x:c r="J15" s="373"/>
    </x:row>
    <x:row r="16" ht="32" customHeight="1">
      <x:c r="A16" s="246"/>
      <x:c r="B16" s="247"/>
      <x:c r="C16" s="271"/>
      <x:c r="D16" s="271"/>
      <x:c r="E16" s="271"/>
      <x:c r="F16" s="271"/>
      <x:c r="G16" s="372"/>
      <x:c r="H16" s="372"/>
      <x:c r="I16" s="372"/>
      <x:c r="J16" s="373"/>
    </x:row>
    <x:row r="17" ht="32" customHeight="1">
      <x:c r="A17" s="246"/>
      <x:c r="B17" s="247"/>
      <x:c r="C17" s="271"/>
      <x:c r="D17" s="271"/>
      <x:c r="E17" s="271"/>
      <x:c r="F17" s="271"/>
      <x:c r="G17" s="372"/>
      <x:c r="H17" s="372"/>
      <x:c r="I17" s="372"/>
      <x:c r="J17" s="373"/>
    </x:row>
    <x:row r="18" ht="32" customHeight="1">
      <x:c r="A18" s="246"/>
      <x:c r="B18" s="247"/>
      <x:c r="C18" s="271"/>
      <x:c r="D18" s="271"/>
      <x:c r="E18" s="271"/>
      <x:c r="F18" s="271"/>
      <x:c r="G18" s="372"/>
      <x:c r="H18" s="372"/>
      <x:c r="I18" s="372"/>
      <x:c r="J18" s="373"/>
    </x:row>
    <x:row r="19" ht="32" customHeight="1">
      <x:c r="A19" s="246"/>
      <x:c r="B19" s="247"/>
      <x:c r="C19" s="271"/>
      <x:c r="D19" s="271"/>
      <x:c r="E19" s="271"/>
      <x:c r="F19" s="271"/>
      <x:c r="G19" s="372"/>
      <x:c r="H19" s="372"/>
      <x:c r="I19" s="372"/>
      <x:c r="J19" s="373"/>
    </x:row>
    <x:row r="20" ht="32" customHeight="1">
      <x:c r="A20" s="246"/>
      <x:c r="B20" s="247"/>
      <x:c r="C20" s="271"/>
      <x:c r="D20" s="271"/>
      <x:c r="E20" s="271"/>
      <x:c r="F20" s="271"/>
      <x:c r="G20" s="372"/>
      <x:c r="H20" s="372"/>
      <x:c r="I20" s="372"/>
      <x:c r="J20" s="373"/>
    </x:row>
    <x:row r="21" ht="32" customHeight="1">
      <x:c r="A21" s="246"/>
      <x:c r="B21" s="247"/>
      <x:c r="C21" s="271"/>
      <x:c r="D21" s="271"/>
      <x:c r="E21" s="271"/>
      <x:c r="F21" s="271"/>
      <x:c r="G21" s="372"/>
      <x:c r="H21" s="372"/>
      <x:c r="I21" s="372"/>
      <x:c r="J21" s="373"/>
    </x:row>
    <x:row r="22" ht="32" customHeight="1">
      <x:c r="A22" s="246"/>
      <x:c r="B22" s="247"/>
      <x:c r="C22" s="271"/>
      <x:c r="D22" s="271"/>
      <x:c r="E22" s="271"/>
      <x:c r="F22" s="271"/>
      <x:c r="G22" s="372"/>
      <x:c r="H22" s="372"/>
      <x:c r="I22" s="372"/>
      <x:c r="J22" s="373"/>
    </x:row>
    <x:row r="23" ht="32" customHeight="1">
      <x:c r="A23" s="246"/>
      <x:c r="B23" s="247"/>
      <x:c r="C23" s="271"/>
      <x:c r="D23" s="271"/>
      <x:c r="E23" s="271"/>
      <x:c r="F23" s="271"/>
      <x:c r="G23" s="372"/>
      <x:c r="H23" s="372"/>
      <x:c r="I23" s="372"/>
      <x:c r="J23" s="373"/>
    </x:row>
    <x:row r="24" ht="32" customHeight="1">
      <x:c r="A24" s="246"/>
      <x:c r="B24" s="247"/>
      <x:c r="C24" s="271"/>
      <x:c r="D24" s="271"/>
      <x:c r="E24" s="271"/>
      <x:c r="F24" s="271"/>
      <x:c r="G24" s="372"/>
      <x:c r="H24" s="372"/>
      <x:c r="I24" s="372"/>
      <x:c r="J24" s="373"/>
    </x:row>
    <x:row r="25" ht="32" customHeight="1">
      <x:c r="A25" s="246"/>
      <x:c r="B25" s="247"/>
      <x:c r="C25" s="271"/>
      <x:c r="D25" s="271"/>
      <x:c r="E25" s="271"/>
      <x:c r="F25" s="271"/>
      <x:c r="G25" s="372"/>
      <x:c r="H25" s="372"/>
      <x:c r="I25" s="372"/>
      <x:c r="J25" s="373"/>
    </x:row>
    <x:row r="26" ht="32" customHeight="1">
      <x:c r="A26" s="246"/>
      <x:c r="B26" s="247"/>
      <x:c r="C26" s="271"/>
      <x:c r="D26" s="271"/>
      <x:c r="E26" s="271"/>
      <x:c r="F26" s="271"/>
      <x:c r="G26" s="372"/>
      <x:c r="H26" s="372"/>
      <x:c r="I26" s="372"/>
      <x:c r="J26" s="373"/>
    </x:row>
    <x:row r="27" ht="32" customHeight="1">
      <x:c r="A27" s="249"/>
      <x:c r="B27" s="250"/>
      <x:c r="C27" s="272"/>
      <x:c r="D27" s="272"/>
      <x:c r="E27" s="272"/>
      <x:c r="F27" s="272"/>
      <x:c r="G27" s="374"/>
      <x:c r="H27" s="374"/>
      <x:c r="I27" s="374"/>
      <x:c r="J27" s="375"/>
    </x:row>
    <x:row r="28" ht="21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1" customHeight="1">
      <x:c r="A30" s="301" t="str">
        <x:v>SCORING GUIDE  •  0–5 Beginner  |  6–10 Intermediate  |  11–15 Advanced</x:v>
      </x:c>
      <x:c r="B30" s="301"/>
      <x:c r="C30" s="301"/>
      <x:c r="D30" s="301"/>
      <x:c r="E30" s="301"/>
      <x:c r="F30" s="301"/>
      <x:c r="G30" s="301"/>
      <x:c r="H30" s="301"/>
      <x:c r="I30" s="301"/>
      <x:c r="J30" s="301"/>
    </x:row>
    <x:row r="31" ht="21" customHeight="1">
      <x:c r="A31" s="301"/>
      <x:c r="B31" s="301"/>
      <x:c r="C31" s="301"/>
      <x:c r="D31" s="301"/>
      <x:c r="E31" s="301"/>
      <x:c r="F31" s="301"/>
      <x:c r="G31" s="301"/>
      <x:c r="H31" s="301"/>
      <x:c r="I31" s="301"/>
      <x:c r="J31" s="301"/>
    </x:row>
    <x:row r="32" ht="21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</x:sheetData>
  <x:mergeCells>
    <x:mergeCell ref="A1:J2"/>
    <x:mergeCell ref="A3:J3"/>
    <x:mergeCell ref="A5:J5"/>
    <x:mergeCell ref="A30:J31"/>
  </x:mergeCells>
  <x:conditionalFormatting sqref="D8:D27">
    <x:cfRule type="expression" dxfId="3" priority="1">
      <x:formula>D8="Beginner"</x:formula>
    </x:cfRule>
    <x:cfRule type="expression" dxfId="4" priority="2">
      <x:formula>D8="Advanced"</x:formula>
    </x:cfRule>
  </x:conditionalFormatting>
  <x:conditionalFormatting sqref="E8:E27">
    <x:cfRule type="expression" dxfId="5" priority="3">
      <x:formula>E8="High"</x:formula>
    </x:cfRule>
  </x:conditionalFormatting>
  <x:dataValidations count="5">
    <x:dataValidation operator="between" sqref="C8:C27">
      <x:formula1>0</x:formula1>
      <x:formula2>15</x:formula2>
    </x:dataValidation>
    <x:dataValidation type="list" sqref="D8:D27">
      <x:formula1>"Beginner,Intermediate,Advanced"</x:formula1>
    </x:dataValidation>
    <x:dataValidation type="list" sqref="E8:E27">
      <x:formula1>"Low,Medium,High"</x:formula1>
    </x:dataValidation>
    <x:dataValidation type="list" sqref="F8:F27">
      <x:formula1>"Low,Medium,High"</x:formula1>
    </x:dataValidation>
    <x:dataValidation type="list" sqref="J8:J27">
      <x:formula1>"No,Yes"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48" hidden="0" customWidth="1"/>
    <x:col min="4" max="4" width="18" hidden="0" customWidth="1"/>
    <x:col min="5" max="5" width="17" hidden="0" customWidth="1"/>
    <x:col min="6" max="6" width="22" hidden="0" customWidth="1"/>
    <x:col min="7" max="7" width="20" hidden="0" customWidth="1"/>
    <x:col min="8" max="8" width="28" hidden="0" customWidth="1"/>
  </x:cols>
  <x:sheetData>
    <x:row r="1" ht="21" customHeight="1">
      <x:c r="A1" s="204" t="str">
        <x:v>ADMIN CHECKLIST • BEFORE / DURING / AFTER DAY 1</x:v>
      </x:c>
      <x:c r="B1" s="204"/>
      <x:c r="C1" s="204"/>
      <x:c r="D1" s="204"/>
      <x:c r="E1" s="204"/>
      <x:c r="F1" s="204"/>
      <x:c r="G1" s="204"/>
      <x:c r="H1" s="204"/>
    </x:row>
    <x:row r="2" ht="21" customHeight="1">
      <x:c r="A2" s="204"/>
      <x:c r="B2" s="204"/>
      <x:c r="C2" s="204"/>
      <x:c r="D2" s="204"/>
      <x:c r="E2" s="204"/>
      <x:c r="F2" s="204"/>
      <x:c r="G2" s="204"/>
      <x:c r="H2" s="204"/>
    </x:row>
    <x:row r="3" ht="21" customHeight="1">
      <x:c r="A3" s="21" t="str">
        <x:v>قائمة تشغيلية مختصرة حتى ما يضيع شيء بين التدريب والإدارة</x:v>
      </x:c>
      <x:c r="B3" s="21"/>
      <x:c r="C3" s="21"/>
      <x:c r="D3" s="21"/>
      <x:c r="E3" s="21"/>
      <x:c r="F3" s="21"/>
      <x:c r="G3" s="21"/>
      <x:c r="H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</x:row>
    <x:row r="5" ht="21" customHeight="1">
      <x:c r="A5" s="4"/>
      <x:c r="B5" s="4"/>
      <x:c r="C5" s="4"/>
      <x:c r="D5" s="4"/>
      <x:c r="E5" s="4"/>
      <x:c r="F5" s="4"/>
      <x:c r="G5" s="4"/>
      <x:c r="H5" s="4"/>
    </x:row>
    <x:row r="6" ht="40" customHeight="1">
      <x:c r="A6" s="221" t="str">
        <x:v>#</x:v>
      </x:c>
      <x:c r="B6" s="222" t="str">
        <x:v>Phase</x:v>
      </x:c>
      <x:c r="C6" s="222" t="str">
        <x:v>Check</x:v>
      </x:c>
      <x:c r="D6" s="222" t="str">
        <x:v>Owner</x:v>
      </x:c>
      <x:c r="E6" s="222" t="str">
        <x:v>Status</x:v>
      </x:c>
      <x:c r="F6" s="222" t="str">
        <x:v>When</x:v>
      </x:c>
      <x:c r="G6" s="222" t="str">
        <x:v>Evidence / Link</x:v>
      </x:c>
      <x:c r="H6" s="223" t="str">
        <x:v>Notes</x:v>
      </x:c>
    </x:row>
    <x:row r="7" ht="40" customHeight="1">
      <x:c r="A7" s="358" t="n">
        <x:v>1</x:v>
      </x:c>
      <x:c r="B7" s="326" t="str">
        <x:v>Before</x:v>
      </x:c>
      <x:c r="C7" s="244" t="str">
        <x:v>Laptop + charger + HDMI/adapter tested</x:v>
      </x:c>
      <x:c r="D7" s="244" t="str">
        <x:v>Trainer</x:v>
      </x:c>
      <x:c r="E7" s="270" t="str">
        <x:v>Not Started</x:v>
      </x:c>
      <x:c r="F7" s="244" t="str">
        <x:v>Before 08:30</x:v>
      </x:c>
      <x:c r="G7" s="244" t="str"/>
      <x:c r="H7" s="245" t="str"/>
    </x:row>
    <x:row r="8" ht="40" customHeight="1">
      <x:c r="A8" s="359" t="n">
        <x:v>2</x:v>
      </x:c>
      <x:c r="B8" s="327" t="str">
        <x:v>Before</x:v>
      </x:c>
      <x:c r="C8" s="247" t="str">
        <x:v>All Excel files open in desktop Excel without repair warnings</x:v>
      </x:c>
      <x:c r="D8" s="247" t="str">
        <x:v>Trainer</x:v>
      </x:c>
      <x:c r="E8" s="271" t="str">
        <x:v>Not Started</x:v>
      </x:c>
      <x:c r="F8" s="247" t="str">
        <x:v>Before 08:30</x:v>
      </x:c>
      <x:c r="G8" s="247" t="str"/>
      <x:c r="H8" s="248" t="str"/>
    </x:row>
    <x:row r="9" ht="40" customHeight="1">
      <x:c r="A9" s="359" t="n">
        <x:v>3</x:v>
      </x:c>
      <x:c r="B9" s="327" t="str">
        <x:v>Before</x:v>
      </x:c>
      <x:c r="C9" s="247" t="str">
        <x:v>Microsoft Forms Pre-Assessment link tested</x:v>
      </x:c>
      <x:c r="D9" s="247" t="str">
        <x:v>Trainer</x:v>
      </x:c>
      <x:c r="E9" s="271" t="str">
        <x:v>Not Started</x:v>
      </x:c>
      <x:c r="F9" s="247" t="str">
        <x:v>Before 08:40</x:v>
      </x:c>
      <x:c r="G9" s="247" t="str"/>
      <x:c r="H9" s="248" t="str"/>
    </x:row>
    <x:row r="10" ht="40" customHeight="1">
      <x:c r="A10" s="359" t="n">
        <x:v>4</x:v>
      </x:c>
      <x:c r="B10" s="327" t="str">
        <x:v>Before</x:v>
      </x:c>
      <x:c r="C10" s="247" t="str">
        <x:v>Backup copy of all training files available offline</x:v>
      </x:c>
      <x:c r="D10" s="247" t="str">
        <x:v>Trainer</x:v>
      </x:c>
      <x:c r="E10" s="271" t="str">
        <x:v>Not Started</x:v>
      </x:c>
      <x:c r="F10" s="247" t="str">
        <x:v>Before 08:40</x:v>
      </x:c>
      <x:c r="G10" s="247" t="str"/>
      <x:c r="H10" s="248" t="str"/>
    </x:row>
    <x:row r="11" ht="40" customHeight="1">
      <x:c r="A11" s="359" t="n">
        <x:v>5</x:v>
      </x:c>
      <x:c r="B11" s="327" t="str">
        <x:v>Before</x:v>
      </x:c>
      <x:c r="C11" s="247" t="str">
        <x:v>Room display / projector readability checked</x:v>
      </x:c>
      <x:c r="D11" s="247" t="str">
        <x:v>Trainer</x:v>
      </x:c>
      <x:c r="E11" s="271" t="str">
        <x:v>Not Started</x:v>
      </x:c>
      <x:c r="F11" s="247" t="str">
        <x:v>Before 08:45</x:v>
      </x:c>
      <x:c r="G11" s="247" t="str"/>
      <x:c r="H11" s="248" t="str"/>
    </x:row>
    <x:row r="12" ht="40" customHeight="1">
      <x:c r="A12" s="359" t="n">
        <x:v>6</x:v>
      </x:c>
      <x:c r="B12" s="327" t="str">
        <x:v>Before</x:v>
      </x:c>
      <x:c r="C12" s="247" t="str">
        <x:v>Attendance sheet ready</x:v>
      </x:c>
      <x:c r="D12" s="247" t="str">
        <x:v>Trainer</x:v>
      </x:c>
      <x:c r="E12" s="271" t="str">
        <x:v>Not Started</x:v>
      </x:c>
      <x:c r="F12" s="247" t="str">
        <x:v>Before 08:50</x:v>
      </x:c>
      <x:c r="G12" s="247" t="str"/>
      <x:c r="H12" s="248" t="str"/>
    </x:row>
    <x:row r="13" ht="40" customHeight="1">
      <x:c r="A13" s="359" t="n">
        <x:v>7</x:v>
      </x:c>
      <x:c r="B13" s="327" t="str">
        <x:v>During</x:v>
      </x:c>
      <x:c r="C13" s="247" t="str">
        <x:v>Attendance marked</x:v>
      </x:c>
      <x:c r="D13" s="247" t="str">
        <x:v>Trainer</x:v>
      </x:c>
      <x:c r="E13" s="271" t="str">
        <x:v>Not Started</x:v>
      </x:c>
      <x:c r="F13" s="247" t="str">
        <x:v>09:00–09:15</x:v>
      </x:c>
      <x:c r="G13" s="247" t="str"/>
      <x:c r="H13" s="248" t="str"/>
    </x:row>
    <x:row r="14" ht="40" customHeight="1">
      <x:c r="A14" s="359" t="n">
        <x:v>8</x:v>
      </x:c>
      <x:c r="B14" s="327" t="str">
        <x:v>During</x:v>
      </x:c>
      <x:c r="C14" s="247" t="str">
        <x:v>Pre-Assessment submissions confirmed</x:v>
      </x:c>
      <x:c r="D14" s="247" t="str">
        <x:v>Trainer</x:v>
      </x:c>
      <x:c r="E14" s="271" t="str">
        <x:v>Not Started</x:v>
      </x:c>
      <x:c r="F14" s="247" t="str">
        <x:v>By 09:15</x:v>
      </x:c>
      <x:c r="G14" s="247" t="str"/>
      <x:c r="H14" s="248" t="str"/>
    </x:row>
    <x:row r="15" ht="40" customHeight="1">
      <x:c r="A15" s="359" t="n">
        <x:v>9</x:v>
      </x:c>
      <x:c r="B15" s="327" t="str">
        <x:v>During</x:v>
      </x:c>
      <x:c r="C15" s="247" t="str">
        <x:v>Support cases captured in Participant Notes</x:v>
      </x:c>
      <x:c r="D15" s="247" t="str">
        <x:v>Trainer</x:v>
      </x:c>
      <x:c r="E15" s="271" t="str">
        <x:v>Not Started</x:v>
      </x:c>
      <x:c r="F15" s="247" t="str">
        <x:v>Throughout</x:v>
      </x:c>
      <x:c r="G15" s="247" t="str"/>
      <x:c r="H15" s="248" t="str"/>
    </x:row>
    <x:row r="16" ht="40" customHeight="1">
      <x:c r="A16" s="359" t="n">
        <x:v>10</x:v>
      </x:c>
      <x:c r="B16" s="327" t="str">
        <x:v>During</x:v>
      </x:c>
      <x:c r="C16" s="247" t="str">
        <x:v>Break timing protected</x:v>
      </x:c>
      <x:c r="D16" s="247" t="str">
        <x:v>Trainer</x:v>
      </x:c>
      <x:c r="E16" s="271" t="str">
        <x:v>Not Started</x:v>
      </x:c>
      <x:c r="F16" s="247" t="str">
        <x:v>10:32 / 12:02</x:v>
      </x:c>
      <x:c r="G16" s="247" t="str"/>
      <x:c r="H16" s="248" t="str"/>
    </x:row>
    <x:row r="17" ht="40" customHeight="1">
      <x:c r="A17" s="359" t="n">
        <x:v>11</x:v>
      </x:c>
      <x:c r="B17" s="327" t="str">
        <x:v>During</x:v>
      </x:c>
      <x:c r="C17" s="247" t="str">
        <x:v>Integrated Assignment completed or attempted</x:v>
      </x:c>
      <x:c r="D17" s="247" t="str">
        <x:v>Trainer</x:v>
      </x:c>
      <x:c r="E17" s="271" t="str">
        <x:v>Not Started</x:v>
      </x:c>
      <x:c r="F17" s="247" t="str">
        <x:v>14:22–14:52</x:v>
      </x:c>
      <x:c r="G17" s="247" t="str"/>
      <x:c r="H17" s="248" t="str"/>
    </x:row>
    <x:row r="18" ht="40" customHeight="1">
      <x:c r="A18" s="359" t="n">
        <x:v>12</x:v>
      </x:c>
      <x:c r="B18" s="327" t="str">
        <x:v>After</x:v>
      </x:c>
      <x:c r="C18" s="247" t="str">
        <x:v>Exit Check completed</x:v>
      </x:c>
      <x:c r="D18" s="247" t="str">
        <x:v>Trainer</x:v>
      </x:c>
      <x:c r="E18" s="271" t="str">
        <x:v>Not Started</x:v>
      </x:c>
      <x:c r="F18" s="247" t="str">
        <x:v>14:52–15:00</x:v>
      </x:c>
      <x:c r="G18" s="247" t="str"/>
      <x:c r="H18" s="248" t="str"/>
    </x:row>
    <x:row r="19" ht="40" customHeight="1">
      <x:c r="A19" s="359" t="n">
        <x:v>13</x:v>
      </x:c>
      <x:c r="B19" s="327" t="str">
        <x:v>After</x:v>
      </x:c>
      <x:c r="C19" s="247" t="str">
        <x:v>Day 1 attendance finalized</x:v>
      </x:c>
      <x:c r="D19" s="247" t="str">
        <x:v>Trainer</x:v>
      </x:c>
      <x:c r="E19" s="271" t="str">
        <x:v>Not Started</x:v>
      </x:c>
      <x:c r="F19" s="247" t="str">
        <x:v>After 15:00</x:v>
      </x:c>
      <x:c r="G19" s="247" t="str"/>
      <x:c r="H19" s="248" t="str"/>
    </x:row>
    <x:row r="20" ht="40" customHeight="1">
      <x:c r="A20" s="359" t="n">
        <x:v>14</x:v>
      </x:c>
      <x:c r="B20" s="327" t="str">
        <x:v>After</x:v>
      </x:c>
      <x:c r="C20" s="247" t="str">
        <x:v>Top support needs written for Day 2</x:v>
      </x:c>
      <x:c r="D20" s="247" t="str">
        <x:v>Trainer</x:v>
      </x:c>
      <x:c r="E20" s="271" t="str">
        <x:v>Not Started</x:v>
      </x:c>
      <x:c r="F20" s="247" t="str">
        <x:v>After 15:00</x:v>
      </x:c>
      <x:c r="G20" s="247" t="str"/>
      <x:c r="H20" s="248" t="str"/>
    </x:row>
    <x:row r="21" ht="40" customHeight="1">
      <x:c r="A21" s="359" t="n">
        <x:v>15</x:v>
      </x:c>
      <x:c r="B21" s="327" t="str">
        <x:v>After</x:v>
      </x:c>
      <x:c r="C21" s="247" t="str">
        <x:v>Training materials backed up</x:v>
      </x:c>
      <x:c r="D21" s="247" t="str">
        <x:v>Trainer</x:v>
      </x:c>
      <x:c r="E21" s="271" t="str">
        <x:v>Not Started</x:v>
      </x:c>
      <x:c r="F21" s="247" t="str">
        <x:v>After 15:00</x:v>
      </x:c>
      <x:c r="G21" s="247" t="str"/>
      <x:c r="H21" s="248" t="str"/>
    </x:row>
    <x:row r="22" ht="40" customHeight="1">
      <x:c r="A22" s="360" t="n">
        <x:v>16</x:v>
      </x:c>
      <x:c r="B22" s="328" t="str">
        <x:v>After</x:v>
      </x:c>
      <x:c r="C22" s="250" t="str">
        <x:v>Attendance / required report prepared for CODERZ</x:v>
      </x:c>
      <x:c r="D22" s="250" t="str">
        <x:v>Trainer</x:v>
      </x:c>
      <x:c r="E22" s="272" t="str">
        <x:v>Not Started</x:v>
      </x:c>
      <x:c r="F22" s="250" t="str">
        <x:v>Same day</x:v>
      </x:c>
      <x:c r="G22" s="250" t="str"/>
      <x:c r="H22" s="251" t="str"/>
    </x:row>
    <x:row r="23" ht="21" customHeight="1">
      <x:c r="A23" s="4"/>
      <x:c r="B23" s="4"/>
      <x:c r="C23" s="4"/>
      <x:c r="D23" s="4"/>
      <x:c r="E23" s="4"/>
      <x:c r="F23" s="4"/>
      <x:c r="G23" s="4"/>
      <x:c r="H23" s="4"/>
    </x:row>
    <x:row r="24" ht="21" customHeight="1">
      <x:c r="A24" s="4"/>
      <x:c r="B24" s="4"/>
      <x:c r="C24" s="4"/>
      <x:c r="D24" s="4"/>
      <x:c r="E24" s="4"/>
      <x:c r="F24" s="4"/>
      <x:c r="G24" s="4"/>
      <x:c r="H24" s="4"/>
    </x:row>
    <x:row r="25" ht="21" customHeight="1">
      <x:c r="A25" s="301" t="str">
        <x:v>COMPLETED</x:v>
      </x:c>
      <x:c r="B25" s="301"/>
      <x:c r="C25" s="301"/>
      <x:c r="D25" s="305" t="n">
        <x:f>COUNTIF(E7:E22,"Done")</x:f>
        <x:v>0</x:v>
      </x:c>
      <x:c r="E25" s="4"/>
      <x:c r="F25" s="301" t="str">
        <x:v>TOTAL</x:v>
      </x:c>
      <x:c r="G25" s="301"/>
      <x:c r="H25" s="349" t="n">
        <x:f>COUNTA(C7:C22)</x:f>
        <x:v>16</x:v>
      </x:c>
    </x:row>
    <x:row r="26" ht="21" customHeight="1">
      <x:c r="A26" s="4"/>
      <x:c r="B26" s="4"/>
      <x:c r="C26" s="4"/>
      <x:c r="D26" s="4"/>
      <x:c r="E26" s="4"/>
      <x:c r="F26" s="4"/>
      <x:c r="G26" s="4"/>
      <x:c r="H26" s="4"/>
    </x:row>
    <x:row r="27" ht="21" customHeight="1">
      <x:c r="A27" s="4"/>
      <x:c r="B27" s="4"/>
      <x:c r="C27" s="4"/>
      <x:c r="D27" s="4"/>
      <x:c r="E27" s="4"/>
      <x:c r="F27" s="4"/>
      <x:c r="G27" s="4"/>
      <x:c r="H27" s="4"/>
    </x:row>
    <x:row r="28" ht="21" customHeight="1">
      <x:c r="A28" s="4"/>
      <x:c r="B28" s="4"/>
      <x:c r="C28" s="4"/>
      <x:c r="D28" s="4"/>
      <x:c r="E28" s="4"/>
      <x:c r="F28" s="4"/>
      <x:c r="G28" s="4"/>
      <x:c r="H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</x:row>
    <x:row r="30" ht="21" customHeight="1">
      <x:c r="A30" s="4"/>
      <x:c r="B30" s="4"/>
      <x:c r="C30" s="4"/>
      <x:c r="D30" s="4"/>
      <x:c r="E30" s="4"/>
      <x:c r="F30" s="4"/>
      <x:c r="G30" s="4"/>
      <x:c r="H30" s="4"/>
    </x:row>
    <x:row r="31" ht="21" customHeight="1">
      <x:c r="A31" s="4"/>
      <x:c r="B31" s="4"/>
      <x:c r="C31" s="4"/>
      <x:c r="D31" s="4"/>
      <x:c r="E31" s="4"/>
      <x:c r="F31" s="4"/>
      <x:c r="G31" s="4"/>
      <x:c r="H31" s="4"/>
    </x:row>
    <x:row r="32" ht="21" customHeight="1">
      <x:c r="A32" s="4"/>
      <x:c r="B32" s="4"/>
      <x:c r="C32" s="4"/>
      <x:c r="D32" s="4"/>
      <x:c r="E32" s="4"/>
      <x:c r="F32" s="4"/>
      <x:c r="G32" s="4"/>
      <x:c r="H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</x:row>
    <x:row r="35" ht="21" customHeight="1">
      <x:c r="A35" s="4"/>
      <x:c r="B35" s="4"/>
      <x:c r="C35" s="4"/>
      <x:c r="D35" s="4"/>
      <x:c r="E35" s="4"/>
      <x:c r="F35" s="4"/>
      <x:c r="G35" s="4"/>
      <x:c r="H35" s="4"/>
    </x:row>
    <x:row r="36" ht="21" customHeight="1">
      <x:c r="A36" s="4"/>
      <x:c r="B36" s="4"/>
      <x:c r="C36" s="4"/>
      <x:c r="D36" s="4"/>
      <x:c r="E36" s="4"/>
      <x:c r="F36" s="4"/>
      <x:c r="G36" s="4"/>
      <x:c r="H36" s="4"/>
    </x:row>
    <x:row r="37" ht="21" customHeight="1">
      <x:c r="A37" s="4"/>
      <x:c r="B37" s="4"/>
      <x:c r="C37" s="4"/>
      <x:c r="D37" s="4"/>
      <x:c r="E37" s="4"/>
      <x:c r="F37" s="4"/>
      <x:c r="G37" s="4"/>
      <x:c r="H37" s="4"/>
    </x:row>
    <x:row r="38" ht="21" customHeight="1">
      <x:c r="A38" s="4"/>
      <x:c r="B38" s="4"/>
      <x:c r="C38" s="4"/>
      <x:c r="D38" s="4"/>
      <x:c r="E38" s="4"/>
      <x:c r="F38" s="4"/>
      <x:c r="G38" s="4"/>
      <x:c r="H38" s="4"/>
    </x:row>
    <x:row r="39" ht="21" customHeight="1">
      <x:c r="A39" s="4"/>
      <x:c r="B39" s="4"/>
      <x:c r="C39" s="4"/>
      <x:c r="D39" s="4"/>
      <x:c r="E39" s="4"/>
      <x:c r="F39" s="4"/>
      <x:c r="G39" s="4"/>
      <x:c r="H39" s="4"/>
    </x:row>
    <x:row r="40" ht="21" customHeight="1">
      <x:c r="A40" s="4"/>
      <x:c r="B40" s="4"/>
      <x:c r="C40" s="4"/>
      <x:c r="D40" s="4"/>
      <x:c r="E40" s="4"/>
      <x:c r="F40" s="4"/>
      <x:c r="G40" s="4"/>
      <x:c r="H40" s="4"/>
    </x:row>
    <x:row r="41" ht="21" customHeight="1">
      <x:c r="A41" s="4"/>
      <x:c r="B41" s="4"/>
      <x:c r="C41" s="4"/>
      <x:c r="D41" s="4"/>
      <x:c r="E41" s="4"/>
      <x:c r="F41" s="4"/>
      <x:c r="G41" s="4"/>
      <x:c r="H41" s="4"/>
    </x:row>
    <x:row r="42" ht="21" customHeight="1">
      <x:c r="A42" s="4"/>
      <x:c r="B42" s="4"/>
      <x:c r="C42" s="4"/>
      <x:c r="D42" s="4"/>
      <x:c r="E42" s="4"/>
      <x:c r="F42" s="4"/>
      <x:c r="G42" s="4"/>
      <x:c r="H42" s="4"/>
    </x:row>
  </x:sheetData>
  <x:mergeCells>
    <x:mergeCell ref="A1:H2"/>
    <x:mergeCell ref="A3:H3"/>
    <x:mergeCell ref="A25:C25"/>
    <x:mergeCell ref="F25:G25"/>
  </x:mergeCells>
  <x:conditionalFormatting sqref="E7:E22">
    <x:cfRule type="expression" dxfId="6" priority="1">
      <x:formula>E7="Done"</x:formula>
    </x:cfRule>
    <x:cfRule type="expression" dxfId="7" priority="2">
      <x:formula>E7="In Progress"</x:formula>
    </x:cfRule>
  </x:conditionalFormatting>
  <x:dataValidations count="1">
    <x:dataValidation type="list" sqref="E7:E22">
      <x:formula1>"Not Started,In Progress,Done,N/A"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204" t="str">
        <x:v>DAY 1 CLOSEOUT • 10-MINUTE TRAINER REVIEW</x:v>
      </x:c>
      <x:c r="B1" s="204"/>
      <x:c r="C1" s="204"/>
      <x:c r="D1" s="204"/>
      <x:c r="E1" s="204"/>
      <x:c r="F1" s="204"/>
      <x:c r="G1" s="204"/>
      <x:c r="H1" s="204"/>
    </x:row>
    <x:row r="2" ht="21" customHeight="1">
      <x:c r="A2" s="204"/>
      <x:c r="B2" s="204"/>
      <x:c r="C2" s="204"/>
      <x:c r="D2" s="204"/>
      <x:c r="E2" s="204"/>
      <x:c r="F2" s="204"/>
      <x:c r="G2" s="204"/>
      <x:c r="H2" s="204"/>
    </x:row>
    <x:row r="3" ht="21" customHeight="1">
      <x:c r="A3" s="21" t="str">
        <x:v>قبل ما تسكر اليوم • وثّق الصورة بسرعة حتى تدخل اليوم الثاني جاهز</x:v>
      </x:c>
      <x:c r="B3" s="21"/>
      <x:c r="C3" s="21"/>
      <x:c r="D3" s="21"/>
      <x:c r="E3" s="21"/>
      <x:c r="F3" s="21"/>
      <x:c r="G3" s="21"/>
      <x:c r="H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</x:row>
    <x:row r="5" ht="21" customHeight="1">
      <x:c r="A5" s="4"/>
      <x:c r="B5" s="4"/>
      <x:c r="C5" s="4"/>
      <x:c r="D5" s="4"/>
      <x:c r="E5" s="4"/>
      <x:c r="F5" s="4"/>
      <x:c r="G5" s="4"/>
      <x:c r="H5" s="4"/>
    </x:row>
    <x:row r="6" ht="48" customHeight="1">
      <x:c r="A6" s="221" t="str">
        <x:v>AREA</x:v>
      </x:c>
      <x:c r="B6" s="222" t="str">
        <x:v>QUESTION</x:v>
      </x:c>
      <x:c r="C6" s="222" t="str">
        <x:v>YOUR NOTE</x:v>
      </x:c>
      <x:c r="D6" s="223" t="str">
        <x:v>ACTION TOMORROW</x:v>
      </x:c>
      <x:c r="E6" s="4"/>
      <x:c r="F6" s="4"/>
      <x:c r="G6" s="4"/>
      <x:c r="H6" s="4"/>
    </x:row>
    <x:row r="7" ht="48" customHeight="1">
      <x:c r="A7" s="331" t="str">
        <x:v>Pacing</x:v>
      </x:c>
      <x:c r="B7" s="244" t="str">
        <x:v>Where did we lose / gain time?</x:v>
      </x:c>
      <x:c r="C7" s="270" t="str"/>
      <x:c r="D7" s="394" t="str"/>
      <x:c r="E7" s="4"/>
      <x:c r="F7" s="4"/>
      <x:c r="G7" s="4"/>
      <x:c r="H7" s="4"/>
    </x:row>
    <x:row r="8" ht="48" customHeight="1">
      <x:c r="A8" s="332" t="str">
        <x:v>Understanding</x:v>
      </x:c>
      <x:c r="B8" s="247" t="str">
        <x:v>Which concept caused the most confusion?</x:v>
      </x:c>
      <x:c r="C8" s="271" t="str"/>
      <x:c r="D8" s="395" t="str"/>
      <x:c r="E8" s="4"/>
      <x:c r="F8" s="4"/>
      <x:c r="G8" s="4"/>
      <x:c r="H8" s="4"/>
    </x:row>
    <x:row r="9" ht="48" customHeight="1">
      <x:c r="A9" s="332" t="str">
        <x:v>Engagement</x:v>
      </x:c>
      <x:c r="B9" s="247" t="str">
        <x:v>Where was participation strongest / weakest?</x:v>
      </x:c>
      <x:c r="C9" s="271" t="str"/>
      <x:c r="D9" s="395" t="str"/>
      <x:c r="E9" s="4"/>
      <x:c r="F9" s="4"/>
      <x:c r="G9" s="4"/>
      <x:c r="H9" s="4"/>
    </x:row>
    <x:row r="10" ht="48" customHeight="1">
      <x:c r="A10" s="332" t="str">
        <x:v>Technical</x:v>
      </x:c>
      <x:c r="B10" s="247" t="str">
        <x:v>Any Excel / device / projection issues?</x:v>
      </x:c>
      <x:c r="C10" s="271" t="str"/>
      <x:c r="D10" s="395" t="str"/>
      <x:c r="E10" s="4"/>
      <x:c r="F10" s="4"/>
      <x:c r="G10" s="4"/>
      <x:c r="H10" s="4"/>
    </x:row>
    <x:row r="11" ht="48" customHeight="1">
      <x:c r="A11" s="332" t="str">
        <x:v>Assessment</x:v>
      </x:c>
      <x:c r="B11" s="247" t="str">
        <x:v>How many learners need structured support?</x:v>
      </x:c>
      <x:c r="C11" s="271" t="str"/>
      <x:c r="D11" s="395" t="str"/>
      <x:c r="E11" s="4"/>
      <x:c r="F11" s="4"/>
      <x:c r="G11" s="4"/>
      <x:c r="H11" s="4"/>
    </x:row>
    <x:row r="12" ht="48" customHeight="1">
      <x:c r="A12" s="332" t="str">
        <x:v>Content</x:v>
      </x:c>
      <x:c r="B12" s="247" t="str">
        <x:v>Which topic needs a 5-minute recap tomorrow?</x:v>
      </x:c>
      <x:c r="C12" s="271" t="str"/>
      <x:c r="D12" s="395" t="str"/>
      <x:c r="E12" s="4"/>
      <x:c r="F12" s="4"/>
      <x:c r="G12" s="4"/>
      <x:c r="H12" s="4"/>
    </x:row>
    <x:row r="13" ht="48" customHeight="1">
      <x:c r="A13" s="333" t="str">
        <x:v>Operations</x:v>
      </x:c>
      <x:c r="B13" s="250" t="str">
        <x:v>Anything CODERZ / venue should know?</x:v>
      </x:c>
      <x:c r="C13" s="272" t="str"/>
      <x:c r="D13" s="396" t="str"/>
      <x:c r="E13" s="4"/>
      <x:c r="F13" s="4"/>
      <x:c r="G13" s="4"/>
      <x:c r="H13" s="4"/>
    </x:row>
    <x:row r="14" ht="21" customHeight="1">
      <x:c r="A14" s="4"/>
      <x:c r="B14" s="4"/>
      <x:c r="C14" s="4"/>
      <x:c r="D14" s="4"/>
      <x:c r="E14" s="4"/>
      <x:c r="F14" s="4"/>
      <x:c r="G14" s="4"/>
      <x:c r="H14" s="4"/>
    </x:row>
    <x:row r="15" ht="21" customHeight="1">
      <x:c r="A15" s="4"/>
      <x:c r="B15" s="4"/>
      <x:c r="C15" s="4"/>
      <x:c r="D15" s="4"/>
      <x:c r="E15" s="4"/>
      <x:c r="F15" s="4"/>
      <x:c r="G15" s="4"/>
      <x:c r="H15" s="4"/>
    </x:row>
    <x:row r="16" ht="21" customHeight="1">
      <x:c r="A16" s="192" t="str">
        <x:v>TOP 3 DAY 2 PRIORITIES</x:v>
      </x:c>
      <x:c r="B16" s="192"/>
      <x:c r="C16" s="192"/>
      <x:c r="D16" s="192"/>
      <x:c r="E16" s="4"/>
      <x:c r="F16" s="4"/>
      <x:c r="G16" s="4"/>
      <x:c r="H16" s="4"/>
    </x:row>
    <x:row r="17" ht="21" customHeight="1">
      <x:c r="A17" s="192"/>
      <x:c r="B17" s="192"/>
      <x:c r="C17" s="192"/>
      <x:c r="D17" s="192"/>
      <x:c r="E17" s="4"/>
      <x:c r="F17" s="4"/>
      <x:c r="G17" s="4"/>
      <x:c r="H17" s="4"/>
    </x:row>
    <x:row r="18" ht="21" customHeight="1">
      <x:c r="A18" s="4"/>
      <x:c r="B18" s="4"/>
      <x:c r="C18" s="4"/>
      <x:c r="D18" s="4"/>
      <x:c r="E18" s="4"/>
      <x:c r="F18" s="4"/>
      <x:c r="G18" s="4"/>
      <x:c r="H18" s="4"/>
    </x:row>
    <x:row r="19" ht="34" customHeight="1">
      <x:c r="A19" s="408" t="str">
        <x:v>1</x:v>
      </x:c>
      <x:c r="B19" s="409" t="str"/>
      <x:c r="C19" s="409" t="str"/>
      <x:c r="D19" s="410" t="str"/>
      <x:c r="E19" s="4"/>
      <x:c r="F19" s="4"/>
      <x:c r="G19" s="4"/>
      <x:c r="H19" s="4"/>
    </x:row>
    <x:row r="20" ht="34" customHeight="1">
      <x:c r="A20" s="411" t="str">
        <x:v>2</x:v>
      </x:c>
      <x:c r="B20" s="412" t="str"/>
      <x:c r="C20" s="412" t="str"/>
      <x:c r="D20" s="413" t="str"/>
      <x:c r="E20" s="4"/>
      <x:c r="F20" s="4"/>
      <x:c r="G20" s="4"/>
      <x:c r="H20" s="4"/>
    </x:row>
    <x:row r="21" ht="34" customHeight="1">
      <x:c r="A21" s="411" t="str">
        <x:v>3</x:v>
      </x:c>
      <x:c r="B21" s="412" t="str"/>
      <x:c r="C21" s="412" t="str"/>
      <x:c r="D21" s="413" t="str"/>
      <x:c r="E21" s="4"/>
      <x:c r="F21" s="4"/>
      <x:c r="G21" s="4"/>
      <x:c r="H21" s="4"/>
    </x:row>
    <x:row r="22" ht="34" customHeight="1">
      <x:c r="A22" s="411" t="str"/>
      <x:c r="B22" s="412" t="str"/>
      <x:c r="C22" s="412" t="str"/>
      <x:c r="D22" s="413" t="str"/>
      <x:c r="E22" s="4"/>
      <x:c r="F22" s="4"/>
      <x:c r="G22" s="4"/>
      <x:c r="H22" s="4"/>
    </x:row>
    <x:row r="23" ht="34" customHeight="1">
      <x:c r="A23" s="414" t="str"/>
      <x:c r="B23" s="415" t="str"/>
      <x:c r="C23" s="415" t="str"/>
      <x:c r="D23" s="416" t="str"/>
      <x:c r="E23" s="4"/>
      <x:c r="F23" s="4"/>
      <x:c r="G23" s="4"/>
      <x:c r="H23" s="4"/>
    </x:row>
    <x:row r="24" ht="21" customHeight="1">
      <x:c r="A24" s="4"/>
      <x:c r="B24" s="4"/>
      <x:c r="C24" s="4"/>
      <x:c r="D24" s="4"/>
      <x:c r="E24" s="4"/>
      <x:c r="F24" s="4"/>
      <x:c r="G24" s="4"/>
      <x:c r="H24" s="4"/>
    </x:row>
    <x:row r="25" ht="21" customHeight="1">
      <x:c r="A25" s="4"/>
      <x:c r="B25" s="4"/>
      <x:c r="C25" s="4"/>
      <x:c r="D25" s="4"/>
      <x:c r="E25" s="4"/>
      <x:c r="F25" s="4"/>
      <x:c r="G25" s="4"/>
      <x:c r="H25" s="4"/>
    </x:row>
    <x:row r="26" ht="21" customHeight="1">
      <x:c r="A26" s="4"/>
      <x:c r="B26" s="4"/>
      <x:c r="C26" s="4"/>
      <x:c r="D26" s="4"/>
      <x:c r="E26" s="4"/>
      <x:c r="F26" s="4"/>
      <x:c r="G26" s="4"/>
      <x:c r="H26" s="4"/>
    </x:row>
    <x:row r="27" ht="21" customHeight="1">
      <x:c r="A27" s="4"/>
      <x:c r="B27" s="4"/>
      <x:c r="C27" s="4"/>
      <x:c r="D27" s="4"/>
      <x:c r="E27" s="4"/>
      <x:c r="F27" s="4"/>
      <x:c r="G27" s="4"/>
      <x:c r="H27" s="4"/>
    </x:row>
    <x:row r="28" ht="21" customHeight="1">
      <x:c r="A28" s="4"/>
      <x:c r="B28" s="4"/>
      <x:c r="C28" s="4"/>
      <x:c r="D28" s="4"/>
      <x:c r="E28" s="4"/>
      <x:c r="F28" s="4"/>
      <x:c r="G28" s="4"/>
      <x:c r="H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</x:row>
    <x:row r="30" ht="21" customHeight="1">
      <x:c r="A30" s="4"/>
      <x:c r="B30" s="4"/>
      <x:c r="C30" s="4"/>
      <x:c r="D30" s="4"/>
      <x:c r="E30" s="4"/>
      <x:c r="F30" s="4"/>
      <x:c r="G30" s="4"/>
      <x:c r="H30" s="4"/>
    </x:row>
    <x:row r="31" ht="21" customHeight="1">
      <x:c r="A31" s="4"/>
      <x:c r="B31" s="4"/>
      <x:c r="C31" s="4"/>
      <x:c r="D31" s="4"/>
      <x:c r="E31" s="4"/>
      <x:c r="F31" s="4"/>
      <x:c r="G31" s="4"/>
      <x:c r="H31" s="4"/>
    </x:row>
    <x:row r="32" ht="21" customHeight="1">
      <x:c r="A32" s="4"/>
      <x:c r="B32" s="4"/>
      <x:c r="C32" s="4"/>
      <x:c r="D32" s="4"/>
      <x:c r="E32" s="4"/>
      <x:c r="F32" s="4"/>
      <x:c r="G32" s="4"/>
      <x:c r="H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</x:row>
  </x:sheetData>
  <x:mergeCells>
    <x:mergeCell ref="A1:H2"/>
    <x:mergeCell ref="A3:H3"/>
    <x:mergeCell ref="A16:D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27" hidden="0" customWidth="1"/>
    <x:col min="5" max="5" width="42" hidden="0" customWidth="1"/>
    <x:col min="6" max="6" width="34" hidden="0" customWidth="1"/>
    <x:col min="7" max="7" width="28" hidden="0" customWidth="1"/>
    <x:col min="8" max="8" width="56" hidden="0" customWidth="1"/>
    <x:col min="9" max="9" width="20" hidden="0" customWidth="1"/>
    <x:col min="10" max="10" width="24" hidden="0" customWidth="1"/>
  </x:cols>
  <x:sheetData>
    <x:row r="1" ht="21" customHeight="1">
      <x:c r="A1" s="430" t="str">
        <x:v>DAY 2 RUN SHEET • 09:00–15:00</x:v>
      </x:c>
      <x:c r="B1" s="430"/>
      <x:c r="C1" s="430"/>
      <x:c r="D1" s="430"/>
      <x:c r="E1" s="430"/>
      <x:c r="F1" s="430"/>
      <x:c r="G1" s="430"/>
      <x:c r="H1" s="430"/>
      <x:c r="I1" s="430"/>
      <x:c r="J1" s="430"/>
    </x:row>
    <x:row r="2" ht="21" customHeight="1">
      <x:c r="A2" s="430"/>
      <x:c r="B2" s="430"/>
      <x:c r="C2" s="430"/>
      <x:c r="D2" s="430"/>
      <x:c r="E2" s="430"/>
      <x:c r="F2" s="430"/>
      <x:c r="G2" s="430"/>
      <x:c r="H2" s="430"/>
      <x:c r="I2" s="430"/>
      <x:c r="J2" s="430"/>
    </x:row>
    <x:row r="3" ht="21" customHeight="1">
      <x:c r="A3" s="434" t="str">
        <x:v>PivotTable → Power Query → Alert Engine → Final Challenge</x:v>
      </x:c>
      <x:c r="B3" s="434"/>
      <x:c r="C3" s="434"/>
      <x:c r="D3" s="434"/>
      <x:c r="E3" s="434"/>
      <x:c r="F3" s="434"/>
      <x:c r="G3" s="434"/>
      <x:c r="H3" s="434"/>
      <x:c r="I3" s="434"/>
      <x:c r="J3" s="434"/>
    </x:row>
    <x:row r="4" ht="21" customHeight="1">
      <x:c r="A4" s="426"/>
      <x:c r="B4" s="426"/>
      <x:c r="C4" s="426"/>
      <x:c r="D4" s="426"/>
      <x:c r="E4" s="426"/>
      <x:c r="F4" s="426"/>
      <x:c r="G4" s="426"/>
      <x:c r="H4" s="426"/>
      <x:c r="I4" s="426"/>
      <x:c r="J4" s="426"/>
    </x:row>
    <x:row r="5" ht="21" customHeight="1">
      <x:c r="A5" s="438" t="str">
        <x:v>Day 2 is practical by design. Protect the wow moments: 20-second Pivot, April Refresh, and the final simplified challenge.</x:v>
      </x:c>
      <x:c r="B5" s="438"/>
      <x:c r="C5" s="438"/>
      <x:c r="D5" s="438"/>
      <x:c r="E5" s="438"/>
      <x:c r="F5" s="438"/>
      <x:c r="G5" s="438"/>
      <x:c r="H5" s="438"/>
      <x:c r="I5" s="438"/>
      <x:c r="J5" s="438"/>
    </x:row>
    <x:row r="6" ht="21" customHeight="1">
      <x:c r="A6" s="438"/>
      <x:c r="B6" s="438"/>
      <x:c r="C6" s="438"/>
      <x:c r="D6" s="438"/>
      <x:c r="E6" s="438"/>
      <x:c r="F6" s="438"/>
      <x:c r="G6" s="438"/>
      <x:c r="H6" s="438"/>
      <x:c r="I6" s="438"/>
      <x:c r="J6" s="438"/>
    </x:row>
    <x:row r="7" ht="21" customHeight="1">
      <x:c r="A7" s="426"/>
      <x:c r="B7" s="426"/>
      <x:c r="C7" s="426"/>
      <x:c r="D7" s="426"/>
      <x:c r="E7" s="426"/>
      <x:c r="F7" s="426"/>
      <x:c r="G7" s="426"/>
      <x:c r="H7" s="426"/>
      <x:c r="I7" s="426"/>
      <x:c r="J7" s="426"/>
    </x:row>
    <x:row r="8" ht="54" customHeight="1">
      <x:c r="A8" s="446" t="str">
        <x:v>Start</x:v>
      </x:c>
      <x:c r="B8" s="447" t="str">
        <x:v>End</x:v>
      </x:c>
      <x:c r="C8" s="447" t="str">
        <x:v>Min</x:v>
      </x:c>
      <x:c r="D8" s="447" t="str">
        <x:v>Block</x:v>
      </x:c>
      <x:c r="E8" s="447" t="str">
        <x:v>Trainer Focus</x:v>
      </x:c>
      <x:c r="F8" s="447" t="str">
        <x:v>Learner Action</x:v>
      </x:c>
      <x:c r="G8" s="447" t="str">
        <x:v>Checkpoint</x:v>
      </x:c>
      <x:c r="H8" s="447" t="str">
        <x:v>File</x:v>
      </x:c>
      <x:c r="I8" s="447" t="str">
        <x:v>Reveal / Surprise</x:v>
      </x:c>
      <x:c r="J8" s="448" t="str">
        <x:v>Notes</x:v>
      </x:c>
    </x:row>
    <x:row r="9" ht="54" customHeight="1">
      <x:c r="A9" s="459" t="str">
        <x:v>09:00</x:v>
      </x:c>
      <x:c r="B9" s="460" t="str">
        <x:v>09:10</x:v>
      </x:c>
      <x:c r="C9" s="460" t="n">
        <x:v>10</x:v>
      </x:c>
      <x:c r="D9" s="468" t="str">
        <x:v>Day 1 Reload</x:v>
      </x:c>
      <x:c r="E9" s="460" t="str">
        <x:v>5 fast questions from Day 1; no reteaching.</x:v>
      </x:c>
      <x:c r="F9" s="460" t="str">
        <x:v>Answer verbally / quick poll.</x:v>
      </x:c>
      <x:c r="G9" s="460" t="str">
        <x:v>Check energy + weak topics.</x:v>
      </x:c>
      <x:c r="H9" s="460" t="str">
        <x:v>—</x:v>
      </x:c>
      <x:c r="I9" s="471" t="str">
        <x:v>No</x:v>
      </x:c>
      <x:c r="J9" s="461" t="str"/>
    </x:row>
    <x:row r="10" ht="54" customHeight="1">
      <x:c r="A10" s="462" t="str">
        <x:v>09:10</x:v>
      </x:c>
      <x:c r="B10" s="463" t="str">
        <x:v>10:40</x:v>
      </x:c>
      <x:c r="C10" s="463" t="n">
        <x:v>90</x:v>
      </x:c>
      <x:c r="D10" s="469" t="str">
        <x:v>PivotTable • The 20-Second Report</x:v>
      </x:c>
      <x:c r="E10" s="463" t="str">
        <x:v>2-minute SUMIFS pain → 20-second Pivot → your 12-step flow.</x:v>
      </x:c>
      <x:c r="F10" s="463" t="str">
        <x:v>Build and improve the same Pivot.</x:v>
      </x:c>
      <x:c r="G10" s="463" t="str">
        <x:v>Can they explain Rows / Values / Filters?</x:v>
      </x:c>
      <x:c r="H10" s="463" t="str">
        <x:v>05_Pivot_Table_CODERZ_TRAINER_STYLE.xlsx</x:v>
      </x:c>
      <x:c r="I10" s="472" t="str">
        <x:v>20-second Pivot demo first</x:v>
      </x:c>
      <x:c r="J10" s="464" t="str"/>
    </x:row>
    <x:row r="11" ht="54" customHeight="1">
      <x:c r="A11" s="462" t="str">
        <x:v>10:40</x:v>
      </x:c>
      <x:c r="B11" s="463" t="str">
        <x:v>10:55</x:v>
      </x:c>
      <x:c r="C11" s="463" t="n">
        <x:v>15</x:v>
      </x:c>
      <x:c r="D11" s="469" t="str">
        <x:v>Break</x:v>
      </x:c>
      <x:c r="E11" s="463" t="str">
        <x:v>Reset room and note support cases.</x:v>
      </x:c>
      <x:c r="F11" s="463" t="str">
        <x:v>Break.</x:v>
      </x:c>
      <x:c r="G11" s="463" t="str">
        <x:v>Keep pace; don't eat into PQ.</x:v>
      </x:c>
      <x:c r="H11" s="463" t="str">
        <x:v>—</x:v>
      </x:c>
      <x:c r="I11" s="472" t="str">
        <x:v>—</x:v>
      </x:c>
      <x:c r="J11" s="464" t="str"/>
    </x:row>
    <x:row r="12" ht="54" customHeight="1">
      <x:c r="A12" s="462" t="str">
        <x:v>10:55</x:v>
      </x:c>
      <x:c r="B12" s="463" t="str">
        <x:v>12:25</x:v>
      </x:c>
      <x:c r="C12" s="463" t="n">
        <x:v>90</x:v>
      </x:c>
      <x:c r="D12" s="469" t="str">
        <x:v>Power Query • Data Factory</x:v>
      </x:c>
      <x:c r="E12" s="463" t="str">
        <x:v>Monthly repetition → Get Data → Clean → Append → Merge → Refresh.</x:v>
      </x:c>
      <x:c r="F12" s="463" t="str">
        <x:v>Build repeatable cleaning pipeline.</x:v>
      </x:c>
      <x:c r="G12" s="463" t="str">
        <x:v>Applied Steps should survive next month.</x:v>
      </x:c>
      <x:c r="H12" s="463" t="str">
        <x:v>06_Power_Query_Data_Factory_CODERZ_DAY_2.xlsx</x:v>
      </x:c>
      <x:c r="I12" s="472" t="str">
        <x:v>Keep April locked</x:v>
      </x:c>
      <x:c r="J12" s="464" t="str"/>
    </x:row>
    <x:row r="13" ht="54" customHeight="1">
      <x:c r="A13" s="462" t="str">
        <x:v>12:25</x:v>
      </x:c>
      <x:c r="B13" s="463" t="str">
        <x:v>12:45</x:v>
      </x:c>
      <x:c r="C13" s="463" t="n">
        <x:v>20</x:v>
      </x:c>
      <x:c r="D13" s="469" t="str">
        <x:v>Break</x:v>
      </x:c>
      <x:c r="E13" s="463" t="str">
        <x:v>Quick check of source pack / participant notes.</x:v>
      </x:c>
      <x:c r="F13" s="463" t="str">
        <x:v>Break.</x:v>
      </x:c>
      <x:c r="G13" s="463" t="str">
        <x:v>Prepare Alert Engine dataset.</x:v>
      </x:c>
      <x:c r="H13" s="463" t="str">
        <x:v>—</x:v>
      </x:c>
      <x:c r="I13" s="472" t="str">
        <x:v>—</x:v>
      </x:c>
      <x:c r="J13" s="464" t="str"/>
    </x:row>
    <x:row r="14" ht="54" customHeight="1">
      <x:c r="A14" s="462" t="str">
        <x:v>12:45</x:v>
      </x:c>
      <x:c r="B14" s="463" t="str">
        <x:v>13:35</x:v>
      </x:c>
      <x:c r="C14" s="463" t="n">
        <x:v>50</x:v>
      </x:c>
      <x:c r="D14" s="469" t="str">
        <x:v>Conditional Formatting • Network Alert Engine</x:v>
      </x:c>
      <x:c r="E14" s="463" t="str">
        <x:v>8-second incident scan → formula CF → SLA / Packet Loss alerts → Data Validation.</x:v>
      </x:c>
      <x:c r="F14" s="463" t="str">
        <x:v>Build alerts and controls.</x:v>
      </x:c>
      <x:c r="G14" s="463" t="str">
        <x:v>Can they explain $ references?</x:v>
      </x:c>
      <x:c r="H14" s="463" t="str">
        <x:v>07_Conditional_Formatting_Alert_Engine_CODERZ_DAY_2_NETWORK_FINAL.xlsx</x:v>
      </x:c>
      <x:c r="I14" s="472" t="str">
        <x:v>8-second challenge first</x:v>
      </x:c>
      <x:c r="J14" s="464" t="str"/>
    </x:row>
    <x:row r="15" ht="54" customHeight="1">
      <x:c r="A15" s="462" t="str">
        <x:v>13:35</x:v>
      </x:c>
      <x:c r="B15" s="463" t="str">
        <x:v>14:35</x:v>
      </x:c>
      <x:c r="C15" s="463" t="n">
        <x:v>60</x:v>
      </x:c>
      <x:c r="D15" s="469" t="str">
        <x:v>Day 2 Final Challenge</x:v>
      </x:c>
      <x:c r="E15" s="463" t="str">
        <x:v>One management request; no rounds or complicated scoring.</x:v>
      </x:c>
      <x:c r="F15" s="463" t="str">
        <x:v>Clean → Analyze → Alert → 3 Insights.</x:v>
      </x:c>
      <x:c r="G15" s="463" t="str">
        <x:v>Coach logic only; don't reteach.</x:v>
      </x:c>
      <x:c r="H15" s="463" t="str">
        <x:v>08_Day2_Final_Challenge_CODERZ_DAY_2_SIMPLIFIED.xlsx</x:v>
      </x:c>
      <x:c r="I15" s="472" t="str">
        <x:v>Unlock April at the end</x:v>
      </x:c>
      <x:c r="J15" s="464" t="str"/>
    </x:row>
    <x:row r="16" ht="54" customHeight="1">
      <x:c r="A16" s="462" t="str">
        <x:v>14:35</x:v>
      </x:c>
      <x:c r="B16" s="463" t="str">
        <x:v>14:45</x:v>
      </x:c>
      <x:c r="C16" s="463" t="n">
        <x:v>10</x:v>
      </x:c>
      <x:c r="D16" s="469" t="str">
        <x:v>Day 2 Exit Check</x:v>
      </x:c>
      <x:c r="E16" s="463" t="str">
        <x:v>Launch 5-question Microsoft Form.</x:v>
      </x:c>
      <x:c r="F16" s="463" t="str">
        <x:v>Submit exit check.</x:v>
      </x:c>
      <x:c r="G16" s="463" t="str">
        <x:v>Capture concepts needing Day 3 recap.</x:v>
      </x:c>
      <x:c r="H16" s="463" t="str">
        <x:v>MS Forms</x:v>
      </x:c>
      <x:c r="I16" s="472" t="str">
        <x:v>No</x:v>
      </x:c>
      <x:c r="J16" s="464" t="str"/>
    </x:row>
    <x:row r="17" ht="54" customHeight="1">
      <x:c r="A17" s="465" t="str">
        <x:v>14:45</x:v>
      </x:c>
      <x:c r="B17" s="466" t="str">
        <x:v>15:00</x:v>
      </x:c>
      <x:c r="C17" s="466" t="n">
        <x:v>15</x:v>
      </x:c>
      <x:c r="D17" s="470" t="str">
        <x:v>Debrief + Day 3 Bridge</x:v>
      </x:c>
      <x:c r="E17" s="466" t="str">
        <x:v>Discuss what saved most time; preview dashboard day.</x:v>
      </x:c>
      <x:c r="F17" s="466" t="str">
        <x:v>Reflect + save work.</x:v>
      </x:c>
      <x:c r="G17" s="466" t="str">
        <x:v>Top 3 Day 3 recap needs.</x:v>
      </x:c>
      <x:c r="H17" s="466" t="str">
        <x:v>Operational Pack</x:v>
      </x:c>
      <x:c r="I17" s="473" t="str">
        <x:v>Reveal Day 3: Dashboard + Automation</x:v>
      </x:c>
      <x:c r="J17" s="467" t="str"/>
    </x:row>
    <x:row r="18" ht="21" customHeight="1">
      <x:c r="A18" s="426"/>
      <x:c r="B18" s="426"/>
      <x:c r="C18" s="426"/>
      <x:c r="D18" s="426"/>
      <x:c r="E18" s="426"/>
      <x:c r="F18" s="426"/>
      <x:c r="G18" s="426"/>
      <x:c r="H18" s="426"/>
      <x:c r="I18" s="426"/>
      <x:c r="J18" s="426"/>
    </x:row>
    <x:row r="19" ht="21" customHeight="1">
      <x:c r="A19" s="426"/>
      <x:c r="B19" s="426"/>
      <x:c r="C19" s="426"/>
      <x:c r="D19" s="426"/>
      <x:c r="E19" s="426"/>
      <x:c r="F19" s="426"/>
      <x:c r="G19" s="426"/>
      <x:c r="H19" s="426"/>
      <x:c r="I19" s="426"/>
      <x:c r="J19" s="426"/>
    </x:row>
    <x:row r="20" ht="21" customHeight="1">
      <x:c r="A20" s="475" t="str">
        <x:v>TOTAL PLANNED MINUTES</x:v>
      </x:c>
      <x:c r="B20" s="475"/>
      <x:c r="C20" s="475"/>
      <x:c r="D20" s="478" t="n">
        <x:f>SUM(C9:C17)</x:f>
        <x:v>360</x:v>
      </x:c>
      <x:c r="E20" s="426"/>
      <x:c r="F20" s="475" t="str">
        <x:v>TARGET</x:v>
      </x:c>
      <x:c r="G20" s="475"/>
      <x:c r="H20" s="475"/>
      <x:c r="I20" s="480" t="n">
        <x:v>360</x:v>
      </x:c>
      <x:c r="J20" s="426"/>
    </x:row>
    <x:row r="21" ht="21" customHeight="1">
      <x:c r="A21" s="426"/>
      <x:c r="B21" s="426"/>
      <x:c r="C21" s="426"/>
      <x:c r="D21" s="426"/>
      <x:c r="E21" s="426"/>
      <x:c r="F21" s="426"/>
      <x:c r="G21" s="426"/>
      <x:c r="H21" s="426"/>
      <x:c r="I21" s="426"/>
      <x:c r="J21" s="426"/>
    </x:row>
    <x:row r="22" ht="21" customHeight="1">
      <x:c r="A22" s="426"/>
      <x:c r="B22" s="426"/>
      <x:c r="C22" s="426"/>
      <x:c r="D22" s="426"/>
      <x:c r="E22" s="426"/>
      <x:c r="F22" s="426"/>
      <x:c r="G22" s="426"/>
      <x:c r="H22" s="426"/>
      <x:c r="I22" s="426"/>
      <x:c r="J22" s="426"/>
    </x:row>
    <x:row r="23" ht="21" customHeight="1">
      <x:c r="A23" s="475" t="str">
        <x:v>FLEX RULE • If time slips, shorten explanation. Do not remove practice, the April refresh moment, or the final challenge.</x:v>
      </x:c>
      <x:c r="B23" s="475"/>
      <x:c r="C23" s="475"/>
      <x:c r="D23" s="475"/>
      <x:c r="E23" s="475"/>
      <x:c r="F23" s="475"/>
      <x:c r="G23" s="475"/>
      <x:c r="H23" s="475"/>
      <x:c r="I23" s="475"/>
      <x:c r="J23" s="475"/>
    </x:row>
    <x:row r="24" ht="21" customHeight="1">
      <x:c r="A24" s="475"/>
      <x:c r="B24" s="475"/>
      <x:c r="C24" s="475"/>
      <x:c r="D24" s="475"/>
      <x:c r="E24" s="475"/>
      <x:c r="F24" s="475"/>
      <x:c r="G24" s="475"/>
      <x:c r="H24" s="475"/>
      <x:c r="I24" s="475"/>
      <x:c r="J24" s="475"/>
    </x:row>
    <x:row r="25" ht="21" customHeight="1">
      <x:c r="A25" s="426"/>
      <x:c r="B25" s="426"/>
      <x:c r="C25" s="426"/>
      <x:c r="D25" s="426"/>
      <x:c r="E25" s="426"/>
      <x:c r="F25" s="426"/>
      <x:c r="G25" s="426"/>
      <x:c r="H25" s="426"/>
      <x:c r="I25" s="426"/>
      <x:c r="J25" s="426"/>
    </x:row>
    <x:row r="26" ht="21" customHeight="1">
      <x:c r="A26" s="483" t="str">
        <x:v>إذا تأخر الوقت • اختصر الحكي، لا تختصر التطبيق ولا لحظات الـWow.</x:v>
      </x:c>
      <x:c r="B26" s="483"/>
      <x:c r="C26" s="483"/>
      <x:c r="D26" s="483"/>
      <x:c r="E26" s="483"/>
      <x:c r="F26" s="483"/>
      <x:c r="G26" s="483"/>
      <x:c r="H26" s="483"/>
      <x:c r="I26" s="483"/>
      <x:c r="J26" s="483"/>
    </x:row>
    <x:row r="27" ht="21" customHeight="1">
      <x:c r="A27" s="483"/>
      <x:c r="B27" s="483"/>
      <x:c r="C27" s="483"/>
      <x:c r="D27" s="483"/>
      <x:c r="E27" s="483"/>
      <x:c r="F27" s="483"/>
      <x:c r="G27" s="483"/>
      <x:c r="H27" s="483"/>
      <x:c r="I27" s="483"/>
      <x:c r="J27" s="483"/>
    </x:row>
    <x:row r="28" ht="21" customHeight="1">
      <x:c r="A28" s="426"/>
      <x:c r="B28" s="426"/>
      <x:c r="C28" s="426"/>
      <x:c r="D28" s="426"/>
      <x:c r="E28" s="426"/>
      <x:c r="F28" s="426"/>
      <x:c r="G28" s="426"/>
      <x:c r="H28" s="426"/>
      <x:c r="I28" s="426"/>
      <x:c r="J28" s="426"/>
    </x:row>
    <x:row r="29" ht="21" customHeight="1">
      <x:c r="A29" s="426"/>
      <x:c r="B29" s="426"/>
      <x:c r="C29" s="426"/>
      <x:c r="D29" s="426"/>
      <x:c r="E29" s="426"/>
      <x:c r="F29" s="426"/>
      <x:c r="G29" s="426"/>
      <x:c r="H29" s="426"/>
      <x:c r="I29" s="426"/>
      <x:c r="J29" s="426"/>
    </x:row>
    <x:row r="30" ht="21" customHeight="1">
      <x:c r="A30" s="426"/>
      <x:c r="B30" s="426"/>
      <x:c r="C30" s="426"/>
      <x:c r="D30" s="426"/>
      <x:c r="E30" s="426"/>
      <x:c r="F30" s="426"/>
      <x:c r="G30" s="426"/>
      <x:c r="H30" s="426"/>
      <x:c r="I30" s="426"/>
      <x:c r="J30" s="426"/>
    </x:row>
    <x:row r="31" ht="21" customHeight="1">
      <x:c r="A31" s="426"/>
      <x:c r="B31" s="426"/>
      <x:c r="C31" s="426"/>
      <x:c r="D31" s="426"/>
      <x:c r="E31" s="426"/>
      <x:c r="F31" s="426"/>
      <x:c r="G31" s="426"/>
      <x:c r="H31" s="426"/>
      <x:c r="I31" s="426"/>
      <x:c r="J31" s="426"/>
    </x:row>
    <x:row r="32" ht="21" customHeight="1">
      <x:c r="A32" s="426"/>
      <x:c r="B32" s="426"/>
      <x:c r="C32" s="426"/>
      <x:c r="D32" s="426"/>
      <x:c r="E32" s="426"/>
      <x:c r="F32" s="426"/>
      <x:c r="G32" s="426"/>
      <x:c r="H32" s="426"/>
      <x:c r="I32" s="426"/>
      <x:c r="J32" s="426"/>
    </x:row>
    <x:row r="33" ht="21" customHeight="1">
      <x:c r="A33" s="426"/>
      <x:c r="B33" s="426"/>
      <x:c r="C33" s="426"/>
      <x:c r="D33" s="426"/>
      <x:c r="E33" s="426"/>
      <x:c r="F33" s="426"/>
      <x:c r="G33" s="426"/>
      <x:c r="H33" s="426"/>
      <x:c r="I33" s="426"/>
      <x:c r="J33" s="426"/>
    </x:row>
    <x:row r="34" ht="21" customHeight="1">
      <x:c r="A34" s="426"/>
      <x:c r="B34" s="426"/>
      <x:c r="C34" s="426"/>
      <x:c r="D34" s="426"/>
      <x:c r="E34" s="426"/>
      <x:c r="F34" s="426"/>
      <x:c r="G34" s="426"/>
      <x:c r="H34" s="426"/>
      <x:c r="I34" s="426"/>
      <x:c r="J34" s="426"/>
    </x:row>
    <x:row r="35" ht="21" customHeight="1">
      <x:c r="A35" s="426"/>
      <x:c r="B35" s="426"/>
      <x:c r="C35" s="426"/>
      <x:c r="D35" s="426"/>
      <x:c r="E35" s="426"/>
      <x:c r="F35" s="426"/>
      <x:c r="G35" s="426"/>
      <x:c r="H35" s="426"/>
      <x:c r="I35" s="426"/>
      <x:c r="J35" s="426"/>
    </x:row>
  </x:sheetData>
  <x:mergeCells>
    <x:mergeCell ref="A1:J2"/>
    <x:mergeCell ref="A3:J3"/>
    <x:mergeCell ref="A5:J6"/>
    <x:mergeCell ref="A20:C20"/>
    <x:mergeCell ref="F20:H20"/>
    <x:mergeCell ref="A23:J24"/>
    <x:mergeCell ref="A26:J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0" hidden="0" customWidth="1"/>
    <x:col min="3" max="3" width="24" hidden="0" customWidth="1"/>
    <x:col min="4" max="4" width="23" hidden="0" customWidth="1"/>
    <x:col min="5" max="5" width="30" hidden="0" customWidth="1"/>
    <x:col min="6" max="6" width="34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21" customHeight="1">
      <x:c r="A1" s="430" t="str">
        <x:v>DAY 2 FILE CONTROL • OPEN ORDER &amp; REVEALS</x:v>
      </x:c>
      <x:c r="B1" s="430"/>
      <x:c r="C1" s="430"/>
      <x:c r="D1" s="430"/>
      <x:c r="E1" s="430"/>
      <x:c r="F1" s="430"/>
      <x:c r="G1" s="430"/>
      <x:c r="H1" s="430"/>
      <x:c r="I1" s="430"/>
    </x:row>
    <x:row r="2" ht="21" customHeight="1">
      <x:c r="A2" s="430"/>
      <x:c r="B2" s="430"/>
      <x:c r="C2" s="430"/>
      <x:c r="D2" s="430"/>
      <x:c r="E2" s="430"/>
      <x:c r="F2" s="430"/>
      <x:c r="G2" s="430"/>
      <x:c r="H2" s="430"/>
      <x:c r="I2" s="430"/>
    </x:row>
    <x:row r="3" ht="21" customHeight="1">
      <x:c r="A3" s="434" t="str">
        <x:v>ترتيب الملفات ولحظات الـReveal التي لا نريد حرقها</x:v>
      </x:c>
      <x:c r="B3" s="434"/>
      <x:c r="C3" s="434"/>
      <x:c r="D3" s="434"/>
      <x:c r="E3" s="434"/>
      <x:c r="F3" s="434"/>
      <x:c r="G3" s="434"/>
      <x:c r="H3" s="434"/>
      <x:c r="I3" s="434"/>
    </x:row>
    <x:row r="4" ht="21" customHeight="1">
      <x:c r="A4" s="426"/>
      <x:c r="B4" s="426"/>
      <x:c r="C4" s="426"/>
      <x:c r="D4" s="426"/>
      <x:c r="E4" s="426"/>
      <x:c r="F4" s="426"/>
      <x:c r="G4" s="426"/>
      <x:c r="H4" s="426"/>
      <x:c r="I4" s="426"/>
    </x:row>
    <x:row r="5" ht="21" customHeight="1">
      <x:c r="A5" s="426"/>
      <x:c r="B5" s="426"/>
      <x:c r="C5" s="426"/>
      <x:c r="D5" s="426"/>
      <x:c r="E5" s="426"/>
      <x:c r="F5" s="426"/>
      <x:c r="G5" s="426"/>
      <x:c r="H5" s="426"/>
      <x:c r="I5" s="426"/>
    </x:row>
    <x:row r="6" ht="50" customHeight="1">
      <x:c r="A6" s="446" t="str">
        <x:v>#</x:v>
      </x:c>
      <x:c r="B6" s="447" t="str">
        <x:v>FILE</x:v>
      </x:c>
      <x:c r="C6" s="447" t="str">
        <x:v>ROLE</x:v>
      </x:c>
      <x:c r="D6" s="447" t="str">
        <x:v>OPEN</x:v>
      </x:c>
      <x:c r="E6" s="447" t="str">
        <x:v>KEY TRAINER-ONLY / SUPPORT</x:v>
      </x:c>
      <x:c r="F6" s="447" t="str">
        <x:v>REVEAL RULE</x:v>
      </x:c>
      <x:c r="G6" s="447" t="str">
        <x:v>BACKUP?</x:v>
      </x:c>
      <x:c r="H6" s="447" t="str">
        <x:v>TESTED?</x:v>
      </x:c>
      <x:c r="I6" s="448" t="str">
        <x:v>Notes</x:v>
      </x:c>
    </x:row>
    <x:row r="7" ht="50" customHeight="1">
      <x:c r="A7" s="490" t="n">
        <x:v>1</x:v>
      </x:c>
      <x:c r="B7" s="468" t="str">
        <x:v>05_Pivot_Table_CODERZ_TRAINER_STYLE.xlsx</x:v>
      </x:c>
      <x:c r="C7" s="460" t="str">
        <x:v>PivotTable</x:v>
      </x:c>
      <x:c r="D7" s="460" t="str">
        <x:v>09:10</x:v>
      </x:c>
      <x:c r="E7" s="471" t="str">
        <x:v>Trainer Flow / Reference</x:v>
      </x:c>
      <x:c r="F7" s="471" t="str">
        <x:v>Do SUMIFS pain first; then 20-second Pivot without explanation.</x:v>
      </x:c>
      <x:c r="G7" s="493" t="str">
        <x:v>No</x:v>
      </x:c>
      <x:c r="H7" s="493" t="str">
        <x:v>No</x:v>
      </x:c>
      <x:c r="I7" s="461" t="str"/>
    </x:row>
    <x:row r="8" ht="50" customHeight="1">
      <x:c r="A8" s="491" t="n">
        <x:v>2</x:v>
      </x:c>
      <x:c r="B8" s="469" t="str">
        <x:v>DAY2_Power_Query_Source_Pack.zip</x:v>
      </x:c>
      <x:c r="C8" s="463" t="str">
        <x:v>Source Pack</x:v>
      </x:c>
      <x:c r="D8" s="463" t="str">
        <x:v>10:55</x:v>
      </x:c>
      <x:c r="E8" s="472" t="str">
        <x:v>April_UNLOCK folder</x:v>
      </x:c>
      <x:c r="F8" s="472" t="str">
        <x:v>Keep April closed until refresh challenge.</x:v>
      </x:c>
      <x:c r="G8" s="494" t="str">
        <x:v>No</x:v>
      </x:c>
      <x:c r="H8" s="494" t="str">
        <x:v>No</x:v>
      </x:c>
      <x:c r="I8" s="464" t="str"/>
    </x:row>
    <x:row r="9" ht="50" customHeight="1">
      <x:c r="A9" s="491" t="n">
        <x:v>3</x:v>
      </x:c>
      <x:c r="B9" s="469" t="str">
        <x:v>06_Power_Query_Data_Factory_CODERZ_DAY_2.xlsx</x:v>
      </x:c>
      <x:c r="C9" s="463" t="str">
        <x:v>Power Query</x:v>
      </x:c>
      <x:c r="D9" s="463" t="str">
        <x:v>10:55</x:v>
      </x:c>
      <x:c r="E9" s="472" t="str">
        <x:v>08_TRAINER_FLOW</x:v>
      </x:c>
      <x:c r="F9" s="472" t="str">
        <x:v>Do not show April surprise early.</x:v>
      </x:c>
      <x:c r="G9" s="494" t="str">
        <x:v>No</x:v>
      </x:c>
      <x:c r="H9" s="494" t="str">
        <x:v>No</x:v>
      </x:c>
      <x:c r="I9" s="464" t="str"/>
    </x:row>
    <x:row r="10" ht="50" customHeight="1">
      <x:c r="A10" s="491" t="n">
        <x:v>4</x:v>
      </x:c>
      <x:c r="B10" s="469" t="str">
        <x:v>07_Conditional_Formatting_Alert_Engine_CODERZ_DAY_2_NETWORK_FINAL.xlsx</x:v>
      </x:c>
      <x:c r="C10" s="463" t="str">
        <x:v>Network Alert Engine</x:v>
      </x:c>
      <x:c r="D10" s="463" t="str">
        <x:v>12:45</x:v>
      </x:c>
      <x:c r="E10" s="472" t="str">
        <x:v>08_TRAINER_FLOW</x:v>
      </x:c>
      <x:c r="F10" s="472" t="str">
        <x:v>8-second scan before formatting.</x:v>
      </x:c>
      <x:c r="G10" s="494" t="str">
        <x:v>No</x:v>
      </x:c>
      <x:c r="H10" s="494" t="str">
        <x:v>No</x:v>
      </x:c>
      <x:c r="I10" s="464" t="str"/>
    </x:row>
    <x:row r="11" ht="50" customHeight="1">
      <x:c r="A11" s="491" t="n">
        <x:v>5</x:v>
      </x:c>
      <x:c r="B11" s="469" t="str">
        <x:v>08_Day2_Final_Challenge_CODERZ_DAY_2_SIMPLIFIED.xlsx</x:v>
      </x:c>
      <x:c r="C11" s="463" t="str">
        <x:v>Final Challenge</x:v>
      </x:c>
      <x:c r="D11" s="463" t="str">
        <x:v>13:35</x:v>
      </x:c>
      <x:c r="E11" s="472" t="str">
        <x:v>06_TRAINER_CHECK / 07_TRAINER_FLOW / 08_SOURCE_MAP</x:v>
      </x:c>
      <x:c r="F11" s="472" t="str">
        <x:v>One business request; unlock April only at the end.</x:v>
      </x:c>
      <x:c r="G11" s="494" t="str">
        <x:v>No</x:v>
      </x:c>
      <x:c r="H11" s="494" t="str">
        <x:v>No</x:v>
      </x:c>
      <x:c r="I11" s="464" t="str"/>
    </x:row>
    <x:row r="12" ht="50" customHeight="1">
      <x:c r="A12" s="492" t="n">
        <x:v>6</x:v>
      </x:c>
      <x:c r="B12" s="470" t="str">
        <x:v>Day 2 Exit Check • Microsoft Forms</x:v>
      </x:c>
      <x:c r="C12" s="466" t="str">
        <x:v>Exit Check</x:v>
      </x:c>
      <x:c r="D12" s="466" t="str">
        <x:v>14:35</x:v>
      </x:c>
      <x:c r="E12" s="473" t="str">
        <x:v>Master Answer Key</x:v>
      </x:c>
      <x:c r="F12" s="473" t="str">
        <x:v>Do not reveal answers before submission.</x:v>
      </x:c>
      <x:c r="G12" s="495" t="str">
        <x:v>No</x:v>
      </x:c>
      <x:c r="H12" s="495" t="str">
        <x:v>No</x:v>
      </x:c>
      <x:c r="I12" s="467" t="str"/>
    </x:row>
    <x:row r="13" ht="21" customHeight="1">
      <x:c r="A13" s="426"/>
      <x:c r="B13" s="426"/>
      <x:c r="C13" s="426"/>
      <x:c r="D13" s="426"/>
      <x:c r="E13" s="426"/>
      <x:c r="F13" s="426"/>
      <x:c r="G13" s="426"/>
      <x:c r="H13" s="426"/>
      <x:c r="I13" s="426"/>
    </x:row>
    <x:row r="14" ht="21" customHeight="1">
      <x:c r="A14" s="426"/>
      <x:c r="B14" s="426"/>
      <x:c r="C14" s="426"/>
      <x:c r="D14" s="426"/>
      <x:c r="E14" s="426"/>
      <x:c r="F14" s="426"/>
      <x:c r="G14" s="426"/>
      <x:c r="H14" s="426"/>
      <x:c r="I14" s="426"/>
    </x:row>
    <x:row r="15" ht="21" customHeight="1">
      <x:c r="A15" s="426"/>
      <x:c r="B15" s="426"/>
      <x:c r="C15" s="426"/>
      <x:c r="D15" s="426"/>
      <x:c r="E15" s="426"/>
      <x:c r="F15" s="426"/>
      <x:c r="G15" s="426"/>
      <x:c r="H15" s="426"/>
      <x:c r="I15" s="426"/>
    </x:row>
    <x:row r="16" ht="21" customHeight="1">
      <x:c r="A16" s="438" t="str">
        <x:v>PRE-ROOM CHECK • Open every workbook in desktop Excel. Test the Source Pack path. Confirm April_UNLOCK is still hidden from learners.</x:v>
      </x:c>
      <x:c r="B16" s="438"/>
      <x:c r="C16" s="438"/>
      <x:c r="D16" s="438"/>
      <x:c r="E16" s="438"/>
      <x:c r="F16" s="438"/>
      <x:c r="G16" s="438"/>
      <x:c r="H16" s="438"/>
      <x:c r="I16" s="438"/>
    </x:row>
    <x:row r="17" ht="21" customHeight="1">
      <x:c r="A17" s="438"/>
      <x:c r="B17" s="438"/>
      <x:c r="C17" s="438"/>
      <x:c r="D17" s="438"/>
      <x:c r="E17" s="438"/>
      <x:c r="F17" s="438"/>
      <x:c r="G17" s="438"/>
      <x:c r="H17" s="438"/>
      <x:c r="I17" s="438"/>
    </x:row>
    <x:row r="18" ht="21" customHeight="1">
      <x:c r="A18" s="438"/>
      <x:c r="B18" s="438"/>
      <x:c r="C18" s="438"/>
      <x:c r="D18" s="438"/>
      <x:c r="E18" s="438"/>
      <x:c r="F18" s="438"/>
      <x:c r="G18" s="438"/>
      <x:c r="H18" s="438"/>
      <x:c r="I18" s="438"/>
    </x:row>
    <x:row r="19" ht="21" customHeight="1">
      <x:c r="A19" s="426"/>
      <x:c r="B19" s="426"/>
      <x:c r="C19" s="426"/>
      <x:c r="D19" s="426"/>
      <x:c r="E19" s="426"/>
      <x:c r="F19" s="426"/>
      <x:c r="G19" s="426"/>
      <x:c r="H19" s="426"/>
      <x:c r="I19" s="426"/>
    </x:row>
    <x:row r="20" ht="21" customHeight="1">
      <x:c r="A20" s="426"/>
      <x:c r="B20" s="426"/>
      <x:c r="C20" s="426"/>
      <x:c r="D20" s="426"/>
      <x:c r="E20" s="426"/>
      <x:c r="F20" s="426"/>
      <x:c r="G20" s="426"/>
      <x:c r="H20" s="426"/>
      <x:c r="I20" s="426"/>
    </x:row>
    <x:row r="21" ht="21" customHeight="1">
      <x:c r="A21" s="426"/>
      <x:c r="B21" s="426"/>
      <x:c r="C21" s="426"/>
      <x:c r="D21" s="426"/>
      <x:c r="E21" s="426"/>
      <x:c r="F21" s="426"/>
      <x:c r="G21" s="426"/>
      <x:c r="H21" s="426"/>
      <x:c r="I21" s="426"/>
    </x:row>
    <x:row r="22" ht="21" customHeight="1">
      <x:c r="A22" s="426"/>
      <x:c r="B22" s="426"/>
      <x:c r="C22" s="426"/>
      <x:c r="D22" s="426"/>
      <x:c r="E22" s="426"/>
      <x:c r="F22" s="426"/>
      <x:c r="G22" s="426"/>
      <x:c r="H22" s="426"/>
      <x:c r="I22" s="426"/>
    </x:row>
    <x:row r="23" ht="21" customHeight="1">
      <x:c r="A23" s="426"/>
      <x:c r="B23" s="426"/>
      <x:c r="C23" s="426"/>
      <x:c r="D23" s="426"/>
      <x:c r="E23" s="426"/>
      <x:c r="F23" s="426"/>
      <x:c r="G23" s="426"/>
      <x:c r="H23" s="426"/>
      <x:c r="I23" s="426"/>
    </x:row>
    <x:row r="24" ht="21" customHeight="1">
      <x:c r="A24" s="426"/>
      <x:c r="B24" s="426"/>
      <x:c r="C24" s="426"/>
      <x:c r="D24" s="426"/>
      <x:c r="E24" s="426"/>
      <x:c r="F24" s="426"/>
      <x:c r="G24" s="426"/>
      <x:c r="H24" s="426"/>
      <x:c r="I24" s="426"/>
    </x:row>
    <x:row r="25" ht="21" customHeight="1">
      <x:c r="A25" s="426"/>
      <x:c r="B25" s="426"/>
      <x:c r="C25" s="426"/>
      <x:c r="D25" s="426"/>
      <x:c r="E25" s="426"/>
      <x:c r="F25" s="426"/>
      <x:c r="G25" s="426"/>
      <x:c r="H25" s="426"/>
      <x:c r="I25" s="426"/>
    </x:row>
    <x:row r="26" ht="21" customHeight="1">
      <x:c r="A26" s="426"/>
      <x:c r="B26" s="426"/>
      <x:c r="C26" s="426"/>
      <x:c r="D26" s="426"/>
      <x:c r="E26" s="426"/>
      <x:c r="F26" s="426"/>
      <x:c r="G26" s="426"/>
      <x:c r="H26" s="426"/>
      <x:c r="I26" s="426"/>
    </x:row>
    <x:row r="27" ht="21" customHeight="1">
      <x:c r="A27" s="426"/>
      <x:c r="B27" s="426"/>
      <x:c r="C27" s="426"/>
      <x:c r="D27" s="426"/>
      <x:c r="E27" s="426"/>
      <x:c r="F27" s="426"/>
      <x:c r="G27" s="426"/>
      <x:c r="H27" s="426"/>
      <x:c r="I27" s="426"/>
    </x:row>
    <x:row r="28" ht="21" customHeight="1">
      <x:c r="A28" s="426"/>
      <x:c r="B28" s="426"/>
      <x:c r="C28" s="426"/>
      <x:c r="D28" s="426"/>
      <x:c r="E28" s="426"/>
      <x:c r="F28" s="426"/>
      <x:c r="G28" s="426"/>
      <x:c r="H28" s="426"/>
      <x:c r="I28" s="426"/>
    </x:row>
    <x:row r="29" ht="21" customHeight="1">
      <x:c r="A29" s="426"/>
      <x:c r="B29" s="426"/>
      <x:c r="C29" s="426"/>
      <x:c r="D29" s="426"/>
      <x:c r="E29" s="426"/>
      <x:c r="F29" s="426"/>
      <x:c r="G29" s="426"/>
      <x:c r="H29" s="426"/>
      <x:c r="I29" s="426"/>
    </x:row>
    <x:row r="30" ht="21" customHeight="1">
      <x:c r="A30" s="426"/>
      <x:c r="B30" s="426"/>
      <x:c r="C30" s="426"/>
      <x:c r="D30" s="426"/>
      <x:c r="E30" s="426"/>
      <x:c r="F30" s="426"/>
      <x:c r="G30" s="426"/>
      <x:c r="H30" s="426"/>
      <x:c r="I30" s="426"/>
    </x:row>
    <x:row r="31" ht="21" customHeight="1">
      <x:c r="A31" s="426"/>
      <x:c r="B31" s="426"/>
      <x:c r="C31" s="426"/>
      <x:c r="D31" s="426"/>
      <x:c r="E31" s="426"/>
      <x:c r="F31" s="426"/>
      <x:c r="G31" s="426"/>
      <x:c r="H31" s="426"/>
      <x:c r="I31" s="426"/>
    </x:row>
  </x:sheetData>
  <x:mergeCells>
    <x:mergeCell ref="A1:I2"/>
    <x:mergeCell ref="A3:I3"/>
    <x:mergeCell ref="A16:I18"/>
  </x:mergeCells>
  <x:dataValidations count="1">
    <x:dataValidation type="list" sqref="G7:H12">
      <x:formula1>"No,Yes"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430" t="str">
        <x:v>DAY 2 CLOSEOUT • TRAINER REVIEW</x:v>
      </x:c>
      <x:c r="B1" s="430"/>
      <x:c r="C1" s="430"/>
      <x:c r="D1" s="430"/>
      <x:c r="E1" s="430"/>
      <x:c r="F1" s="430"/>
      <x:c r="G1" s="430"/>
      <x:c r="H1" s="430"/>
    </x:row>
    <x:row r="2" ht="21" customHeight="1">
      <x:c r="A2" s="430"/>
      <x:c r="B2" s="430"/>
      <x:c r="C2" s="430"/>
      <x:c r="D2" s="430"/>
      <x:c r="E2" s="430"/>
      <x:c r="F2" s="430"/>
      <x:c r="G2" s="430"/>
      <x:c r="H2" s="430"/>
    </x:row>
    <x:row r="3" ht="21" customHeight="1">
      <x:c r="A3" s="434" t="str">
        <x:v>10 دقائق بعد اليوم • وثّق اللي لازم يدخل معك على Day 3</x:v>
      </x:c>
      <x:c r="B3" s="434"/>
      <x:c r="C3" s="434"/>
      <x:c r="D3" s="434"/>
      <x:c r="E3" s="434"/>
      <x:c r="F3" s="434"/>
      <x:c r="G3" s="434"/>
      <x:c r="H3" s="434"/>
    </x:row>
    <x:row r="4" ht="21" customHeight="1">
      <x:c r="A4" s="426"/>
      <x:c r="B4" s="426"/>
      <x:c r="C4" s="426"/>
      <x:c r="D4" s="426"/>
      <x:c r="E4" s="426"/>
      <x:c r="F4" s="426"/>
      <x:c r="G4" s="426"/>
      <x:c r="H4" s="426"/>
    </x:row>
    <x:row r="5" ht="21" customHeight="1">
      <x:c r="A5" s="426"/>
      <x:c r="B5" s="426"/>
      <x:c r="C5" s="426"/>
      <x:c r="D5" s="426"/>
      <x:c r="E5" s="426"/>
      <x:c r="F5" s="426"/>
      <x:c r="G5" s="426"/>
      <x:c r="H5" s="426"/>
    </x:row>
    <x:row r="6" ht="50" customHeight="1">
      <x:c r="A6" s="446" t="str">
        <x:v>AREA</x:v>
      </x:c>
      <x:c r="B6" s="447" t="str">
        <x:v>QUESTION</x:v>
      </x:c>
      <x:c r="C6" s="447" t="str">
        <x:v>YOUR NOTE</x:v>
      </x:c>
      <x:c r="D6" s="448" t="str">
        <x:v>DAY 3 ACTION</x:v>
      </x:c>
      <x:c r="E6" s="426"/>
      <x:c r="F6" s="426"/>
      <x:c r="G6" s="426"/>
      <x:c r="H6" s="426"/>
    </x:row>
    <x:row r="7" ht="50" customHeight="1">
      <x:c r="A7" s="496" t="str">
        <x:v>PivotTable</x:v>
      </x:c>
      <x:c r="B7" s="460" t="str">
        <x:v>Which step caused the most confusion?</x:v>
      </x:c>
      <x:c r="C7" s="493" t="str"/>
      <x:c r="D7" s="499" t="str"/>
      <x:c r="E7" s="426"/>
      <x:c r="F7" s="426"/>
      <x:c r="G7" s="426"/>
      <x:c r="H7" s="426"/>
    </x:row>
    <x:row r="8" ht="50" customHeight="1">
      <x:c r="A8" s="497" t="str">
        <x:v>Power Query</x:v>
      </x:c>
      <x:c r="B8" s="463" t="str">
        <x:v>Did learners understand Append vs Merge?</x:v>
      </x:c>
      <x:c r="C8" s="494" t="str"/>
      <x:c r="D8" s="500" t="str"/>
      <x:c r="E8" s="426"/>
      <x:c r="F8" s="426"/>
      <x:c r="G8" s="426"/>
      <x:c r="H8" s="426"/>
    </x:row>
    <x:row r="9" ht="50" customHeight="1">
      <x:c r="A9" s="497" t="str">
        <x:v>Refresh</x:v>
      </x:c>
      <x:c r="B9" s="463" t="str">
        <x:v>Did the April moment work as intended?</x:v>
      </x:c>
      <x:c r="C9" s="494" t="str"/>
      <x:c r="D9" s="500" t="str"/>
      <x:c r="E9" s="426"/>
      <x:c r="F9" s="426"/>
      <x:c r="G9" s="426"/>
      <x:c r="H9" s="426"/>
    </x:row>
    <x:row r="10" ht="50" customHeight="1">
      <x:c r="A10" s="497" t="str">
        <x:v>Conditional Formatting</x:v>
      </x:c>
      <x:c r="B10" s="463" t="str">
        <x:v>Are $ references still weak?</x:v>
      </x:c>
      <x:c r="C10" s="494" t="str"/>
      <x:c r="D10" s="500" t="str"/>
      <x:c r="E10" s="426"/>
      <x:c r="F10" s="426"/>
      <x:c r="G10" s="426"/>
      <x:c r="H10" s="426"/>
    </x:row>
    <x:row r="11" ht="50" customHeight="1">
      <x:c r="A11" s="497" t="str">
        <x:v>Data Validation</x:v>
      </x:c>
      <x:c r="B11" s="463" t="str">
        <x:v>Can they explain prevention vs alerting?</x:v>
      </x:c>
      <x:c r="C11" s="494" t="str"/>
      <x:c r="D11" s="500" t="str"/>
      <x:c r="E11" s="426"/>
      <x:c r="F11" s="426"/>
      <x:c r="G11" s="426"/>
      <x:c r="H11" s="426"/>
    </x:row>
    <x:row r="12" ht="50" customHeight="1">
      <x:c r="A12" s="497" t="str">
        <x:v>Final Challenge</x:v>
      </x:c>
      <x:c r="B12" s="463" t="str">
        <x:v>Could they combine tools without step-by-step help?</x:v>
      </x:c>
      <x:c r="C12" s="494" t="str"/>
      <x:c r="D12" s="500" t="str"/>
      <x:c r="E12" s="426"/>
      <x:c r="F12" s="426"/>
      <x:c r="G12" s="426"/>
      <x:c r="H12" s="426"/>
    </x:row>
    <x:row r="13" ht="50" customHeight="1">
      <x:c r="A13" s="498" t="str">
        <x:v>Insights</x:v>
      </x:c>
      <x:c r="B13" s="466" t="str">
        <x:v>Could they speak business, not clicks?</x:v>
      </x:c>
      <x:c r="C13" s="495" t="str"/>
      <x:c r="D13" s="501" t="str"/>
      <x:c r="E13" s="426"/>
      <x:c r="F13" s="426"/>
      <x:c r="G13" s="426"/>
      <x:c r="H13" s="426"/>
    </x:row>
    <x:row r="14" ht="21" customHeight="1">
      <x:c r="A14" s="426"/>
      <x:c r="B14" s="426"/>
      <x:c r="C14" s="426"/>
      <x:c r="D14" s="426"/>
      <x:c r="E14" s="426"/>
      <x:c r="F14" s="426"/>
      <x:c r="G14" s="426"/>
      <x:c r="H14" s="426"/>
    </x:row>
    <x:row r="15" ht="21" customHeight="1">
      <x:c r="A15" s="426"/>
      <x:c r="B15" s="426"/>
      <x:c r="C15" s="426"/>
      <x:c r="D15" s="426"/>
      <x:c r="E15" s="426"/>
      <x:c r="F15" s="426"/>
      <x:c r="G15" s="426"/>
      <x:c r="H15" s="426"/>
    </x:row>
    <x:row r="16" ht="21" customHeight="1">
      <x:c r="A16" s="426"/>
      <x:c r="B16" s="426"/>
      <x:c r="C16" s="426"/>
      <x:c r="D16" s="426"/>
      <x:c r="E16" s="426"/>
      <x:c r="F16" s="426"/>
      <x:c r="G16" s="426"/>
      <x:c r="H16" s="426"/>
    </x:row>
    <x:row r="17" ht="21" customHeight="1">
      <x:c r="A17" s="504" t="str">
        <x:v>TOP 3 DAY 3 RECAP NEEDS</x:v>
      </x:c>
      <x:c r="B17" s="504"/>
      <x:c r="C17" s="504"/>
      <x:c r="D17" s="504"/>
      <x:c r="E17" s="426"/>
      <x:c r="F17" s="426"/>
      <x:c r="G17" s="426"/>
      <x:c r="H17" s="426"/>
    </x:row>
    <x:row r="18" ht="21" customHeight="1">
      <x:c r="A18" s="504"/>
      <x:c r="B18" s="504"/>
      <x:c r="C18" s="504"/>
      <x:c r="D18" s="504"/>
      <x:c r="E18" s="426"/>
      <x:c r="F18" s="426"/>
      <x:c r="G18" s="426"/>
      <x:c r="H18" s="426"/>
    </x:row>
    <x:row r="19" ht="21" customHeight="1">
      <x:c r="A19" s="426"/>
      <x:c r="B19" s="426"/>
      <x:c r="C19" s="426"/>
      <x:c r="D19" s="426"/>
      <x:c r="E19" s="426"/>
      <x:c r="F19" s="426"/>
      <x:c r="G19" s="426"/>
      <x:c r="H19" s="426"/>
    </x:row>
    <x:row r="20" ht="38" customHeight="1">
      <x:c r="A20" s="516" t="str">
        <x:v>1</x:v>
      </x:c>
      <x:c r="B20" s="517" t="str"/>
      <x:c r="C20" s="517" t="str"/>
      <x:c r="D20" s="518" t="str"/>
      <x:c r="E20" s="426"/>
      <x:c r="F20" s="426"/>
      <x:c r="G20" s="426"/>
      <x:c r="H20" s="426"/>
    </x:row>
    <x:row r="21" ht="38" customHeight="1">
      <x:c r="A21" s="519" t="str">
        <x:v>2</x:v>
      </x:c>
      <x:c r="B21" s="520" t="str"/>
      <x:c r="C21" s="520" t="str"/>
      <x:c r="D21" s="521" t="str"/>
      <x:c r="E21" s="426"/>
      <x:c r="F21" s="426"/>
      <x:c r="G21" s="426"/>
      <x:c r="H21" s="426"/>
    </x:row>
    <x:row r="22" ht="38" customHeight="1">
      <x:c r="A22" s="522" t="str">
        <x:v>3</x:v>
      </x:c>
      <x:c r="B22" s="523" t="str"/>
      <x:c r="C22" s="523" t="str"/>
      <x:c r="D22" s="524" t="str"/>
      <x:c r="E22" s="426"/>
      <x:c r="F22" s="426"/>
      <x:c r="G22" s="426"/>
      <x:c r="H22" s="426"/>
    </x:row>
    <x:row r="23" ht="21" customHeight="1">
      <x:c r="A23" s="426"/>
      <x:c r="B23" s="426"/>
      <x:c r="C23" s="426"/>
      <x:c r="D23" s="426"/>
      <x:c r="E23" s="426"/>
      <x:c r="F23" s="426"/>
      <x:c r="G23" s="426"/>
      <x:c r="H23" s="426"/>
    </x:row>
    <x:row r="24" ht="21" customHeight="1">
      <x:c r="A24" s="426"/>
      <x:c r="B24" s="426"/>
      <x:c r="C24" s="426"/>
      <x:c r="D24" s="426"/>
      <x:c r="E24" s="426"/>
      <x:c r="F24" s="426"/>
      <x:c r="G24" s="426"/>
      <x:c r="H24" s="426"/>
    </x:row>
    <x:row r="25" ht="21" customHeight="1">
      <x:c r="A25" s="426"/>
      <x:c r="B25" s="426"/>
      <x:c r="C25" s="426"/>
      <x:c r="D25" s="426"/>
      <x:c r="E25" s="426"/>
      <x:c r="F25" s="426"/>
      <x:c r="G25" s="426"/>
      <x:c r="H25" s="426"/>
    </x:row>
    <x:row r="26" ht="21" customHeight="1">
      <x:c r="A26" s="528" t="str">
        <x:v>DAY 3 BRIDGE • Dashboard design should reuse the same thinking: clean source, correct analysis, meaningful alerts, then visual storytelling.</x:v>
      </x:c>
      <x:c r="B26" s="528"/>
      <x:c r="C26" s="528"/>
      <x:c r="D26" s="528"/>
      <x:c r="E26" s="528"/>
      <x:c r="F26" s="528"/>
      <x:c r="G26" s="528"/>
      <x:c r="H26" s="528"/>
    </x:row>
    <x:row r="27" ht="21" customHeight="1">
      <x:c r="A27" s="528"/>
      <x:c r="B27" s="528"/>
      <x:c r="C27" s="528"/>
      <x:c r="D27" s="528"/>
      <x:c r="E27" s="528"/>
      <x:c r="F27" s="528"/>
      <x:c r="G27" s="528"/>
      <x:c r="H27" s="528"/>
    </x:row>
    <x:row r="28" ht="21" customHeight="1">
      <x:c r="A28" s="528"/>
      <x:c r="B28" s="528"/>
      <x:c r="C28" s="528"/>
      <x:c r="D28" s="528"/>
      <x:c r="E28" s="528"/>
      <x:c r="F28" s="528"/>
      <x:c r="G28" s="528"/>
      <x:c r="H28" s="528"/>
    </x:row>
    <x:row r="29" ht="21" customHeight="1">
      <x:c r="A29" s="426"/>
      <x:c r="B29" s="426"/>
      <x:c r="C29" s="426"/>
      <x:c r="D29" s="426"/>
      <x:c r="E29" s="426"/>
      <x:c r="F29" s="426"/>
      <x:c r="G29" s="426"/>
      <x:c r="H29" s="426"/>
    </x:row>
    <x:row r="30" ht="21" customHeight="1">
      <x:c r="A30" s="426"/>
      <x:c r="B30" s="426"/>
      <x:c r="C30" s="426"/>
      <x:c r="D30" s="426"/>
      <x:c r="E30" s="426"/>
      <x:c r="F30" s="426"/>
      <x:c r="G30" s="426"/>
      <x:c r="H30" s="426"/>
    </x:row>
    <x:row r="31" ht="21" customHeight="1">
      <x:c r="A31" s="426"/>
      <x:c r="B31" s="426"/>
      <x:c r="C31" s="426"/>
      <x:c r="D31" s="426"/>
      <x:c r="E31" s="426"/>
      <x:c r="F31" s="426"/>
      <x:c r="G31" s="426"/>
      <x:c r="H31" s="426"/>
    </x:row>
    <x:row r="32" ht="21" customHeight="1">
      <x:c r="A32" s="426"/>
      <x:c r="B32" s="426"/>
      <x:c r="C32" s="426"/>
      <x:c r="D32" s="426"/>
      <x:c r="E32" s="426"/>
      <x:c r="F32" s="426"/>
      <x:c r="G32" s="426"/>
      <x:c r="H32" s="426"/>
    </x:row>
    <x:row r="33" ht="21" customHeight="1">
      <x:c r="A33" s="426"/>
      <x:c r="B33" s="426"/>
      <x:c r="C33" s="426"/>
      <x:c r="D33" s="426"/>
      <x:c r="E33" s="426"/>
      <x:c r="F33" s="426"/>
      <x:c r="G33" s="426"/>
      <x:c r="H33" s="426"/>
    </x:row>
    <x:row r="34" ht="21" customHeight="1">
      <x:c r="A34" s="426"/>
      <x:c r="B34" s="426"/>
      <x:c r="C34" s="426"/>
      <x:c r="D34" s="426"/>
      <x:c r="E34" s="426"/>
      <x:c r="F34" s="426"/>
      <x:c r="G34" s="426"/>
      <x:c r="H34" s="426"/>
    </x:row>
  </x:sheetData>
  <x:mergeCells>
    <x:mergeCell ref="A1:H2"/>
    <x:mergeCell ref="A3:H3"/>
    <x:mergeCell ref="A17:D18"/>
    <x:mergeCell ref="A26:H2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28" hidden="0" customWidth="1"/>
    <x:col min="5" max="5" width="42" hidden="0" customWidth="1"/>
    <x:col min="6" max="6" width="32" hidden="0" customWidth="1"/>
    <x:col min="7" max="7" width="28" hidden="0" customWidth="1"/>
    <x:col min="8" max="8" width="58" hidden="0" customWidth="1"/>
    <x:col min="9" max="9" width="24" hidden="0" customWidth="1"/>
    <x:col min="10" max="10" width="24" hidden="0" customWidth="1"/>
  </x:cols>
  <x:sheetData>
    <x:row r="1" ht="21" customHeight="1">
      <x:c r="A1" s="560" t="str">
        <x:v>DAY 3 RUN SHEET • 09:00–15:00</x:v>
      </x:c>
      <x:c r="B1" s="560"/>
      <x:c r="C1" s="560"/>
      <x:c r="D1" s="560"/>
      <x:c r="E1" s="560"/>
      <x:c r="F1" s="560"/>
      <x:c r="G1" s="560"/>
      <x:c r="H1" s="560"/>
      <x:c r="I1" s="560"/>
      <x:c r="J1" s="560"/>
    </x:row>
    <x:row r="2" ht="21" customHeight="1">
      <x:c r="A2" s="560"/>
      <x:c r="B2" s="560"/>
      <x:c r="C2" s="560"/>
      <x:c r="D2" s="560"/>
      <x:c r="E2" s="560"/>
      <x:c r="F2" s="560"/>
      <x:c r="G2" s="560"/>
      <x:c r="H2" s="560"/>
      <x:c r="I2" s="560"/>
      <x:c r="J2" s="560"/>
    </x:row>
    <x:row r="3" ht="21" customHeight="1">
      <x:c r="A3" s="564" t="str">
        <x:v>Dashboard → Macros + Protection → Final Challenge → Post-Assessment → Close</x:v>
      </x:c>
      <x:c r="B3" s="564"/>
      <x:c r="C3" s="564"/>
      <x:c r="D3" s="564"/>
      <x:c r="E3" s="564"/>
      <x:c r="F3" s="564"/>
      <x:c r="G3" s="564"/>
      <x:c r="H3" s="564"/>
      <x:c r="I3" s="564"/>
      <x:c r="J3" s="564"/>
    </x:row>
    <x:row r="4" ht="21" customHeight="1">
      <x:c r="A4" s="556"/>
      <x:c r="B4" s="556"/>
      <x:c r="C4" s="556"/>
      <x:c r="D4" s="556"/>
      <x:c r="E4" s="556"/>
      <x:c r="F4" s="556"/>
      <x:c r="G4" s="556"/>
      <x:c r="H4" s="556"/>
      <x:c r="I4" s="556"/>
      <x:c r="J4" s="556"/>
    </x:row>
    <x:row r="5" ht="21" customHeight="1">
      <x:c r="A5" s="568" t="str">
        <x:v>TRAINER RULE • Keep Day 3 easy. Build with them, automate one repeated task, protect the file, then let them finish with one clear final challenge.</x:v>
      </x:c>
      <x:c r="B5" s="568"/>
      <x:c r="C5" s="568"/>
      <x:c r="D5" s="568"/>
      <x:c r="E5" s="568"/>
      <x:c r="F5" s="568"/>
      <x:c r="G5" s="568"/>
      <x:c r="H5" s="568"/>
      <x:c r="I5" s="568"/>
      <x:c r="J5" s="568"/>
    </x:row>
    <x:row r="6" ht="21" customHeight="1">
      <x:c r="A6" s="568"/>
      <x:c r="B6" s="568"/>
      <x:c r="C6" s="568"/>
      <x:c r="D6" s="568"/>
      <x:c r="E6" s="568"/>
      <x:c r="F6" s="568"/>
      <x:c r="G6" s="568"/>
      <x:c r="H6" s="568"/>
      <x:c r="I6" s="568"/>
      <x:c r="J6" s="568"/>
    </x:row>
    <x:row r="7" ht="21" customHeight="1">
      <x:c r="A7" s="556"/>
      <x:c r="B7" s="556"/>
      <x:c r="C7" s="556"/>
      <x:c r="D7" s="556"/>
      <x:c r="E7" s="556"/>
      <x:c r="F7" s="556"/>
      <x:c r="G7" s="556"/>
      <x:c r="H7" s="556"/>
      <x:c r="I7" s="556"/>
      <x:c r="J7" s="556"/>
    </x:row>
    <x:row r="8" ht="58" customHeight="1">
      <x:c r="A8" s="571" t="str">
        <x:v>Start</x:v>
      </x:c>
      <x:c r="B8" s="571" t="str">
        <x:v>End</x:v>
      </x:c>
      <x:c r="C8" s="571" t="str">
        <x:v>Min</x:v>
      </x:c>
      <x:c r="D8" s="571" t="str">
        <x:v>Block</x:v>
      </x:c>
      <x:c r="E8" s="571" t="str">
        <x:v>Trainer Focus</x:v>
      </x:c>
      <x:c r="F8" s="571" t="str">
        <x:v>Learner Action</x:v>
      </x:c>
      <x:c r="G8" s="571" t="str">
        <x:v>Checkpoint</x:v>
      </x:c>
      <x:c r="H8" s="571" t="str">
        <x:v>File</x:v>
      </x:c>
      <x:c r="I8" s="571" t="str">
        <x:v>Reveal / Surprise</x:v>
      </x:c>
      <x:c r="J8" s="571" t="str">
        <x:v>Notes</x:v>
      </x:c>
    </x:row>
    <x:row r="9" ht="58" customHeight="1">
      <x:c r="A9" s="573" t="str">
        <x:v>09:00</x:v>
      </x:c>
      <x:c r="B9" s="573" t="str">
        <x:v>11:05</x:v>
      </x:c>
      <x:c r="C9" s="573" t="n">
        <x:v>125</x:v>
      </x:c>
      <x:c r="D9" s="574" t="str">
        <x:v>Interactive Dashboard</x:v>
      </x:c>
      <x:c r="E9" s="573" t="str">
        <x:v>Before/After → Build With Me → Slicers/Timeline → Cleanup.</x:v>
      </x:c>
      <x:c r="F9" s="573" t="str">
        <x:v>Build one clean dashboard with you.</x:v>
      </x:c>
      <x:c r="G9" s="573" t="str">
        <x:v>Can they explain Data → Pivot → Chart → Slicer?</x:v>
      </x:c>
      <x:c r="H9" s="573" t="str">
        <x:v>09_Interactive_Dashboard_CODERZ_DAY_3_EASY.xlsx</x:v>
      </x:c>
      <x:c r="I9" s="575" t="str">
        <x:v>Show final target early, then rebuild from zero.</x:v>
      </x:c>
      <x:c r="J9" s="573" t="str"/>
    </x:row>
    <x:row r="10" ht="58" customHeight="1">
      <x:c r="A10" s="573" t="str">
        <x:v>11:05</x:v>
      </x:c>
      <x:c r="B10" s="573" t="str">
        <x:v>11:20</x:v>
      </x:c>
      <x:c r="C10" s="573" t="n">
        <x:v>15</x:v>
      </x:c>
      <x:c r="D10" s="574" t="str">
        <x:v>Break</x:v>
      </x:c>
      <x:c r="E10" s="573" t="str">
        <x:v>Reset room. Keep final challenge closed.</x:v>
      </x:c>
      <x:c r="F10" s="573" t="str">
        <x:v>Break.</x:v>
      </x:c>
      <x:c r="G10" s="573" t="str">
        <x:v>Protect next block start time.</x:v>
      </x:c>
      <x:c r="H10" s="573" t="str">
        <x:v>—</x:v>
      </x:c>
      <x:c r="I10" s="575" t="str">
        <x:v>—</x:v>
      </x:c>
      <x:c r="J10" s="573" t="str"/>
    </x:row>
    <x:row r="11" ht="58" customHeight="1">
      <x:c r="A11" s="573" t="str">
        <x:v>11:20</x:v>
      </x:c>
      <x:c r="B11" s="573" t="str">
        <x:v>13:00</x:v>
      </x:c>
      <x:c r="C11" s="573" t="n">
        <x:v>100</x:v>
      </x:c>
      <x:c r="D11" s="574" t="str">
        <x:v>Macros + Protection • Finance / Back Office</x:v>
      </x:c>
      <x:c r="E11" s="573" t="str">
        <x:v>Manual finance exception report → Record → Run → Button → Protect.</x:v>
      </x:c>
      <x:c r="F11" s="573" t="str">
        <x:v>Record one simple macro and protect formulas.</x:v>
      </x:c>
      <x:c r="G11" s="573" t="str">
        <x:v>Does the button work twice? Are yellow inputs editable?</x:v>
      </x:c>
      <x:c r="H11" s="573" t="str">
        <x:v>10_Macros_Automation_Protection_CODERZ_DAY_3_FINANCE_FINAL.xlsx</x:v>
      </x:c>
      <x:c r="I11" s="575" t="str">
        <x:v>One-click macro wow.</x:v>
      </x:c>
      <x:c r="J11" s="573" t="str"/>
    </x:row>
    <x:row r="12" ht="58" customHeight="1">
      <x:c r="A12" s="573" t="str">
        <x:v>13:00</x:v>
      </x:c>
      <x:c r="B12" s="573" t="str">
        <x:v>13:20</x:v>
      </x:c>
      <x:c r="C12" s="573" t="n">
        <x:v>20</x:v>
      </x:c>
      <x:c r="D12" s="574" t="str">
        <x:v>Break</x:v>
      </x:c>
      <x:c r="E12" s="573" t="str">
        <x:v>Prepare final challenge + assessment link.</x:v>
      </x:c>
      <x:c r="F12" s="573" t="str">
        <x:v>Break.</x:v>
      </x:c>
      <x:c r="G12" s="573" t="str">
        <x:v>Final challenge starts exactly 13:20.</x:v>
      </x:c>
      <x:c r="H12" s="573" t="str">
        <x:v>—</x:v>
      </x:c>
      <x:c r="I12" s="575" t="str">
        <x:v>—</x:v>
      </x:c>
      <x:c r="J12" s="573" t="str"/>
    </x:row>
    <x:row r="13" ht="58" customHeight="1">
      <x:c r="A13" s="573" t="str">
        <x:v>13:20</x:v>
      </x:c>
      <x:c r="B13" s="573" t="str">
        <x:v>14:30</x:v>
      </x:c>
      <x:c r="C13" s="573" t="n">
        <x:v>70</x:v>
      </x:c>
      <x:c r="D13" s="574" t="str">
        <x:v>Final Executive Dashboard Challenge</x:v>
      </x:c>
      <x:c r="E13" s="573" t="str">
        <x:v>Coach only blockers. Do not reteach.</x:v>
      </x:c>
      <x:c r="F13" s="573" t="str">
        <x:v>Build, interact, protect, write 3 insights.</x:v>
      </x:c>
      <x:c r="G13" s="573" t="str">
        <x:v>Result is correct + understandable.</x:v>
      </x:c>
      <x:c r="H13" s="573" t="str">
        <x:v>11_Final_Executive_Dashboard_Challenge_CODERZ_DAY_3_EASY.xlsx</x:v>
      </x:c>
      <x:c r="I13" s="575" t="str">
        <x:v>Change Request at minute 58.</x:v>
      </x:c>
      <x:c r="J13" s="573" t="str"/>
    </x:row>
    <x:row r="14" ht="58" customHeight="1">
      <x:c r="A14" s="573" t="str">
        <x:v>14:30</x:v>
      </x:c>
      <x:c r="B14" s="573" t="str">
        <x:v>14:50</x:v>
      </x:c>
      <x:c r="C14" s="573" t="n">
        <x:v>20</x:v>
      </x:c>
      <x:c r="D14" s="574" t="str">
        <x:v>Post-Assessment</x:v>
      </x:c>
      <x:c r="E14" s="573" t="str">
        <x:v>Launch 15-question Microsoft Forms quiz.</x:v>
      </x:c>
      <x:c r="F14" s="573" t="str">
        <x:v>Submit individually.</x:v>
      </x:c>
      <x:c r="G14" s="573" t="str">
        <x:v>Capture final score.</x:v>
      </x:c>
      <x:c r="H14" s="573" t="str">
        <x:v>MS Forms • Post-Assessment</x:v>
      </x:c>
      <x:c r="I14" s="575" t="str">
        <x:v>No answer reveal before submit.</x:v>
      </x:c>
      <x:c r="J14" s="573" t="str"/>
    </x:row>
    <x:row r="15" ht="58" customHeight="1">
      <x:c r="A15" s="573" t="str">
        <x:v>14:50</x:v>
      </x:c>
      <x:c r="B15" s="573" t="str">
        <x:v>15:00</x:v>
      </x:c>
      <x:c r="C15" s="573" t="n">
        <x:v>10</x:v>
      </x:c>
      <x:c r="D15" s="574" t="str">
        <x:v>Course Close</x:v>
      </x:c>
      <x:c r="E15" s="573" t="str">
        <x:v>Connect the full journey from data to decision.</x:v>
      </x:c>
      <x:c r="F15" s="573" t="str">
        <x:v>Reflect + final questions.</x:v>
      </x:c>
      <x:c r="G15" s="573" t="str">
        <x:v>Can they explain the full workflow?</x:v>
      </x:c>
      <x:c r="H15" s="573" t="str">
        <x:v>Operational Pack</x:v>
      </x:c>
      <x:c r="I15" s="575" t="str">
        <x:v>Final journey reveal.</x:v>
      </x:c>
      <x:c r="J15" s="573" t="str"/>
    </x:row>
    <x:row r="16" ht="21" customHeight="1">
      <x:c r="A16" s="556"/>
      <x:c r="B16" s="556"/>
      <x:c r="C16" s="556"/>
      <x:c r="D16" s="556"/>
      <x:c r="E16" s="556"/>
      <x:c r="F16" s="556"/>
      <x:c r="G16" s="556"/>
      <x:c r="H16" s="556"/>
      <x:c r="I16" s="556"/>
      <x:c r="J16" s="556"/>
    </x:row>
    <x:row r="17" ht="21" customHeight="1">
      <x:c r="A17" s="556"/>
      <x:c r="B17" s="556"/>
      <x:c r="C17" s="556"/>
      <x:c r="D17" s="556"/>
      <x:c r="E17" s="556"/>
      <x:c r="F17" s="556"/>
      <x:c r="G17" s="556"/>
      <x:c r="H17" s="556"/>
      <x:c r="I17" s="556"/>
      <x:c r="J17" s="556"/>
    </x:row>
    <x:row r="18" ht="21" customHeight="1">
      <x:c r="A18" s="556"/>
      <x:c r="B18" s="556"/>
      <x:c r="C18" s="556"/>
      <x:c r="D18" s="556"/>
      <x:c r="E18" s="556"/>
      <x:c r="F18" s="556"/>
      <x:c r="G18" s="556"/>
      <x:c r="H18" s="556"/>
      <x:c r="I18" s="556"/>
      <x:c r="J18" s="556"/>
    </x:row>
    <x:row r="19" ht="21" customHeight="1">
      <x:c r="A19" s="571" t="str">
        <x:v>TOTAL PLANNED MINUTES</x:v>
      </x:c>
      <x:c r="B19" s="571"/>
      <x:c r="C19" s="571"/>
      <x:c r="D19" s="578" t="n">
        <x:f>SUM(C9:C15)</x:f>
        <x:v>360</x:v>
      </x:c>
      <x:c r="E19" s="556"/>
      <x:c r="F19" s="571" t="str">
        <x:v>TARGET</x:v>
      </x:c>
      <x:c r="G19" s="571"/>
      <x:c r="H19" s="571"/>
      <x:c r="I19" s="580" t="n">
        <x:v>360</x:v>
      </x:c>
      <x:c r="J19" s="556"/>
    </x:row>
    <x:row r="20" ht="21" customHeight="1">
      <x:c r="A20" s="556"/>
      <x:c r="B20" s="556"/>
      <x:c r="C20" s="556"/>
      <x:c r="D20" s="556"/>
      <x:c r="E20" s="556"/>
      <x:c r="F20" s="556"/>
      <x:c r="G20" s="556"/>
      <x:c r="H20" s="556"/>
      <x:c r="I20" s="556"/>
      <x:c r="J20" s="556"/>
    </x:row>
    <x:row r="21" ht="21" customHeight="1">
      <x:c r="A21" s="556"/>
      <x:c r="B21" s="556"/>
      <x:c r="C21" s="556"/>
      <x:c r="D21" s="556"/>
      <x:c r="E21" s="556"/>
      <x:c r="F21" s="556"/>
      <x:c r="G21" s="556"/>
      <x:c r="H21" s="556"/>
      <x:c r="I21" s="556"/>
      <x:c r="J21" s="556"/>
    </x:row>
    <x:row r="22" ht="21" customHeight="1">
      <x:c r="A22" s="556"/>
      <x:c r="B22" s="556"/>
      <x:c r="C22" s="556"/>
      <x:c r="D22" s="556"/>
      <x:c r="E22" s="556"/>
      <x:c r="F22" s="556"/>
      <x:c r="G22" s="556"/>
      <x:c r="H22" s="556"/>
      <x:c r="I22" s="556"/>
      <x:c r="J22" s="556"/>
    </x:row>
    <x:row r="23" ht="21" customHeight="1">
      <x:c r="A23" s="583" t="str">
        <x:v>IF TIME SLIPS • Shorten explanation, not learner practice. Keep Final Challenge, Post-Assessment, and the final 10-minute close.</x:v>
      </x:c>
      <x:c r="B23" s="583"/>
      <x:c r="C23" s="583"/>
      <x:c r="D23" s="583"/>
      <x:c r="E23" s="583"/>
      <x:c r="F23" s="583"/>
      <x:c r="G23" s="583"/>
      <x:c r="H23" s="583"/>
      <x:c r="I23" s="583"/>
      <x:c r="J23" s="583"/>
    </x:row>
    <x:row r="24" ht="21" customHeight="1">
      <x:c r="A24" s="583"/>
      <x:c r="B24" s="583"/>
      <x:c r="C24" s="583"/>
      <x:c r="D24" s="583"/>
      <x:c r="E24" s="583"/>
      <x:c r="F24" s="583"/>
      <x:c r="G24" s="583"/>
      <x:c r="H24" s="583"/>
      <x:c r="I24" s="583"/>
      <x:c r="J24" s="583"/>
    </x:row>
    <x:row r="25" ht="21" customHeight="1">
      <x:c r="A25" s="583"/>
      <x:c r="B25" s="583"/>
      <x:c r="C25" s="583"/>
      <x:c r="D25" s="583"/>
      <x:c r="E25" s="583"/>
      <x:c r="F25" s="583"/>
      <x:c r="G25" s="583"/>
      <x:c r="H25" s="583"/>
      <x:c r="I25" s="583"/>
      <x:c r="J25" s="583"/>
    </x:row>
    <x:row r="26" ht="21" customHeight="1">
      <x:c r="A26" s="556"/>
      <x:c r="B26" s="556"/>
      <x:c r="C26" s="556"/>
      <x:c r="D26" s="556"/>
      <x:c r="E26" s="556"/>
      <x:c r="F26" s="556"/>
      <x:c r="G26" s="556"/>
      <x:c r="H26" s="556"/>
      <x:c r="I26" s="556"/>
      <x:c r="J26" s="556"/>
    </x:row>
    <x:row r="27" ht="21" customHeight="1">
      <x:c r="A27" s="556"/>
      <x:c r="B27" s="556"/>
      <x:c r="C27" s="556"/>
      <x:c r="D27" s="556"/>
      <x:c r="E27" s="556"/>
      <x:c r="F27" s="556"/>
      <x:c r="G27" s="556"/>
      <x:c r="H27" s="556"/>
      <x:c r="I27" s="556"/>
      <x:c r="J27" s="556"/>
    </x:row>
    <x:row r="28" ht="21" customHeight="1">
      <x:c r="A28" s="564" t="str">
        <x:v>إذا تأخر الوقت • اختصر الحكي، لا تحذف التطبيق ولا التقييم النهائي.</x:v>
      </x:c>
      <x:c r="B28" s="564"/>
      <x:c r="C28" s="564"/>
      <x:c r="D28" s="564"/>
      <x:c r="E28" s="564"/>
      <x:c r="F28" s="564"/>
      <x:c r="G28" s="564"/>
      <x:c r="H28" s="564"/>
      <x:c r="I28" s="564"/>
      <x:c r="J28" s="564"/>
    </x:row>
    <x:row r="29" ht="21" customHeight="1">
      <x:c r="A29" s="564"/>
      <x:c r="B29" s="564"/>
      <x:c r="C29" s="564"/>
      <x:c r="D29" s="564"/>
      <x:c r="E29" s="564"/>
      <x:c r="F29" s="564"/>
      <x:c r="G29" s="564"/>
      <x:c r="H29" s="564"/>
      <x:c r="I29" s="564"/>
      <x:c r="J29" s="564"/>
    </x:row>
    <x:row r="30" ht="21" customHeight="1">
      <x:c r="A30" s="564"/>
      <x:c r="B30" s="564"/>
      <x:c r="C30" s="564"/>
      <x:c r="D30" s="564"/>
      <x:c r="E30" s="564"/>
      <x:c r="F30" s="564"/>
      <x:c r="G30" s="564"/>
      <x:c r="H30" s="564"/>
      <x:c r="I30" s="564"/>
      <x:c r="J30" s="564"/>
    </x:row>
    <x:row r="31" ht="21" customHeight="1">
      <x:c r="A31" s="556"/>
      <x:c r="B31" s="556"/>
      <x:c r="C31" s="556"/>
      <x:c r="D31" s="556"/>
      <x:c r="E31" s="556"/>
      <x:c r="F31" s="556"/>
      <x:c r="G31" s="556"/>
      <x:c r="H31" s="556"/>
      <x:c r="I31" s="556"/>
      <x:c r="J31" s="556"/>
    </x:row>
    <x:row r="32" ht="21" customHeight="1">
      <x:c r="A32" s="556"/>
      <x:c r="B32" s="556"/>
      <x:c r="C32" s="556"/>
      <x:c r="D32" s="556"/>
      <x:c r="E32" s="556"/>
      <x:c r="F32" s="556"/>
      <x:c r="G32" s="556"/>
      <x:c r="H32" s="556"/>
      <x:c r="I32" s="556"/>
      <x:c r="J32" s="556"/>
    </x:row>
    <x:row r="33" ht="21" customHeight="1">
      <x:c r="A33" s="556"/>
      <x:c r="B33" s="556"/>
      <x:c r="C33" s="556"/>
      <x:c r="D33" s="556"/>
      <x:c r="E33" s="556"/>
      <x:c r="F33" s="556"/>
      <x:c r="G33" s="556"/>
      <x:c r="H33" s="556"/>
      <x:c r="I33" s="556"/>
      <x:c r="J33" s="556"/>
    </x:row>
    <x:row r="34" ht="21" customHeight="1">
      <x:c r="A34" s="556"/>
      <x:c r="B34" s="556"/>
      <x:c r="C34" s="556"/>
      <x:c r="D34" s="556"/>
      <x:c r="E34" s="556"/>
      <x:c r="F34" s="556"/>
      <x:c r="G34" s="556"/>
      <x:c r="H34" s="556"/>
      <x:c r="I34" s="556"/>
      <x:c r="J34" s="556"/>
    </x:row>
  </x:sheetData>
  <x:mergeCells>
    <x:mergeCell ref="A1:J2"/>
    <x:mergeCell ref="A3:J3"/>
    <x:mergeCell ref="A5:J6"/>
    <x:mergeCell ref="A19:C19"/>
    <x:mergeCell ref="F19:H19"/>
    <x:mergeCell ref="A23:J25"/>
    <x:mergeCell ref="A28:J3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2" hidden="0" customWidth="1"/>
    <x:col min="3" max="3" width="24" hidden="0" customWidth="1"/>
    <x:col min="4" max="4" width="20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21" customHeight="1">
      <x:c r="A1" s="560" t="str">
        <x:v>DAY 3 FILE CONTROL • OPEN ORDER</x:v>
      </x:c>
      <x:c r="B1" s="560"/>
      <x:c r="C1" s="560"/>
      <x:c r="D1" s="560"/>
      <x:c r="E1" s="560"/>
      <x:c r="F1" s="560"/>
      <x:c r="G1" s="560"/>
      <x:c r="H1" s="560"/>
      <x:c r="I1" s="560"/>
    </x:row>
    <x:row r="2" ht="21" customHeight="1">
      <x:c r="A2" s="560"/>
      <x:c r="B2" s="560"/>
      <x:c r="C2" s="560"/>
      <x:c r="D2" s="560"/>
      <x:c r="E2" s="560"/>
      <x:c r="F2" s="560"/>
      <x:c r="G2" s="560"/>
      <x:c r="H2" s="560"/>
      <x:c r="I2" s="560"/>
    </x:row>
    <x:row r="3" ht="21" customHeight="1">
      <x:c r="A3" s="564" t="str">
        <x:v>الملفات اللي تفتحها بالترتيب • وخلي الباقي مسكر</x:v>
      </x:c>
      <x:c r="B3" s="564"/>
      <x:c r="C3" s="564"/>
      <x:c r="D3" s="564"/>
      <x:c r="E3" s="564"/>
      <x:c r="F3" s="564"/>
      <x:c r="G3" s="564"/>
      <x:c r="H3" s="564"/>
      <x:c r="I3" s="564"/>
    </x:row>
    <x:row r="4" ht="21" customHeight="1">
      <x:c r="A4" s="556"/>
      <x:c r="B4" s="556"/>
      <x:c r="C4" s="556"/>
      <x:c r="D4" s="556"/>
      <x:c r="E4" s="556"/>
      <x:c r="F4" s="556"/>
      <x:c r="G4" s="556"/>
      <x:c r="H4" s="556"/>
      <x:c r="I4" s="556"/>
    </x:row>
    <x:row r="5" ht="21" customHeight="1">
      <x:c r="A5" s="556"/>
      <x:c r="B5" s="556"/>
      <x:c r="C5" s="556"/>
      <x:c r="D5" s="556"/>
      <x:c r="E5" s="556"/>
      <x:c r="F5" s="556"/>
      <x:c r="G5" s="556"/>
      <x:c r="H5" s="556"/>
      <x:c r="I5" s="556"/>
    </x:row>
    <x:row r="6" ht="54" customHeight="1">
      <x:c r="A6" s="571" t="str">
        <x:v>#</x:v>
      </x:c>
      <x:c r="B6" s="571" t="str">
        <x:v>FILE</x:v>
      </x:c>
      <x:c r="C6" s="571" t="str">
        <x:v>ROLE</x:v>
      </x:c>
      <x:c r="D6" s="571" t="str">
        <x:v>OPEN</x:v>
      </x:c>
      <x:c r="E6" s="571" t="str">
        <x:v>TRAINER FOCUS</x:v>
      </x:c>
      <x:c r="F6" s="571" t="str">
        <x:v>REVEAL RULE</x:v>
      </x:c>
      <x:c r="G6" s="571" t="str">
        <x:v>BACKUP?</x:v>
      </x:c>
      <x:c r="H6" s="571" t="str">
        <x:v>TESTED?</x:v>
      </x:c>
      <x:c r="I6" s="571" t="str">
        <x:v>Notes</x:v>
      </x:c>
    </x:row>
    <x:row r="7" ht="54" customHeight="1">
      <x:c r="A7" s="583" t="n">
        <x:v>1</x:v>
      </x:c>
      <x:c r="B7" s="574" t="str">
        <x:v>09_Interactive_Dashboard_CODERZ_DAY_3_EASY.xlsx</x:v>
      </x:c>
      <x:c r="C7" s="573" t="str">
        <x:v>Dashboard</x:v>
      </x:c>
      <x:c r="D7" s="573" t="str">
        <x:v>09:00</x:v>
      </x:c>
      <x:c r="E7" s="575" t="str">
        <x:v>Build with them; no design theory lecture.</x:v>
      </x:c>
      <x:c r="F7" s="575" t="str">
        <x:v>Show final target for 60 sec, then go back to zero.</x:v>
      </x:c>
      <x:c r="G7" s="585" t="str">
        <x:v>No</x:v>
      </x:c>
      <x:c r="H7" s="585" t="str">
        <x:v>No</x:v>
      </x:c>
      <x:c r="I7" s="573" t="str"/>
    </x:row>
    <x:row r="8" ht="54" customHeight="1">
      <x:c r="A8" s="583" t="n">
        <x:v>2</x:v>
      </x:c>
      <x:c r="B8" s="574" t="str">
        <x:v>10_Macros_Automation_Protection_CODERZ_DAY_3_FINANCE_FINAL.xlsx</x:v>
      </x:c>
      <x:c r="C8" s="573" t="str">
        <x:v>Macros + Protection • Finance / Back Office</x:v>
      </x:c>
      <x:c r="D8" s="573" t="str">
        <x:v>11:20</x:v>
      </x:c>
      <x:c r="E8" s="575" t="str">
        <x:v>Manual first; automate second.</x:v>
      </x:c>
      <x:c r="F8" s="575" t="str">
        <x:v>Do not open VBA editor.</x:v>
      </x:c>
      <x:c r="G8" s="585" t="str">
        <x:v>No</x:v>
      </x:c>
      <x:c r="H8" s="585" t="str">
        <x:v>No</x:v>
      </x:c>
      <x:c r="I8" s="573" t="str"/>
    </x:row>
    <x:row r="9" ht="54" customHeight="1">
      <x:c r="A9" s="583" t="n">
        <x:v>3</x:v>
      </x:c>
      <x:c r="B9" s="574" t="str">
        <x:v>11_Final_Executive_Dashboard_Challenge_CODERZ_DAY_3_EASY.xlsx</x:v>
      </x:c>
      <x:c r="C9" s="573" t="str">
        <x:v>Final Challenge</x:v>
      </x:c>
      <x:c r="D9" s="573" t="str">
        <x:v>13:20</x:v>
      </x:c>
      <x:c r="E9" s="575" t="str">
        <x:v>Observe and coach blockers only.</x:v>
      </x:c>
      <x:c r="F9" s="575" t="str">
        <x:v>Keep 05_CHANGE_REQUEST closed until minute 58.</x:v>
      </x:c>
      <x:c r="G9" s="585" t="str">
        <x:v>No</x:v>
      </x:c>
      <x:c r="H9" s="585" t="str">
        <x:v>No</x:v>
      </x:c>
      <x:c r="I9" s="573" t="str"/>
    </x:row>
    <x:row r="10" ht="54" customHeight="1">
      <x:c r="A10" s="583" t="n">
        <x:v>4</x:v>
      </x:c>
      <x:c r="B10" s="574" t="str">
        <x:v>CODERZ_Orange_Advanced_Excel_Post_Assessment_MS_FORMS_IMPORT.docx</x:v>
      </x:c>
      <x:c r="C10" s="573" t="str">
        <x:v>Post-Assessment</x:v>
      </x:c>
      <x:c r="D10" s="573" t="str">
        <x:v>14:30</x:v>
      </x:c>
      <x:c r="E10" s="575" t="str">
        <x:v>15 questions / 20 minutes.</x:v>
      </x:c>
      <x:c r="F10" s="575" t="str">
        <x:v>No answer reveal until submission.</x:v>
      </x:c>
      <x:c r="G10" s="585" t="str">
        <x:v>No</x:v>
      </x:c>
      <x:c r="H10" s="585" t="str">
        <x:v>No</x:v>
      </x:c>
      <x:c r="I10" s="573" t="str"/>
    </x:row>
    <x:row r="11" ht="54" customHeight="1">
      <x:c r="A11" s="583" t="n">
        <x:v>5</x:v>
      </x:c>
      <x:c r="B11" s="574" t="str">
        <x:v>CODERZ_Orange_Advanced_Excel_Post_Assessment_MASTER.docx</x:v>
      </x:c>
      <x:c r="C11" s="573" t="str">
        <x:v>Trainer Key</x:v>
      </x:c>
      <x:c r="D11" s="573" t="str">
        <x:v>After course</x:v>
      </x:c>
      <x:c r="E11" s="575" t="str">
        <x:v>Score and compare Pre vs Post.</x:v>
      </x:c>
      <x:c r="F11" s="575" t="str">
        <x:v>Trainer only.</x:v>
      </x:c>
      <x:c r="G11" s="585" t="str">
        <x:v>No</x:v>
      </x:c>
      <x:c r="H11" s="585" t="str">
        <x:v>No</x:v>
      </x:c>
      <x:c r="I11" s="573" t="str"/>
    </x:row>
    <x:row r="12" ht="21" customHeight="1">
      <x:c r="A12" s="556"/>
      <x:c r="B12" s="556"/>
      <x:c r="C12" s="556"/>
      <x:c r="D12" s="556"/>
      <x:c r="E12" s="556"/>
      <x:c r="F12" s="556"/>
      <x:c r="G12" s="556"/>
      <x:c r="H12" s="556"/>
      <x:c r="I12" s="556"/>
    </x:row>
    <x:row r="13" ht="21" customHeight="1">
      <x:c r="A13" s="556"/>
      <x:c r="B13" s="556"/>
      <x:c r="C13" s="556"/>
      <x:c r="D13" s="556"/>
      <x:c r="E13" s="556"/>
      <x:c r="F13" s="556"/>
      <x:c r="G13" s="556"/>
      <x:c r="H13" s="556"/>
      <x:c r="I13" s="556"/>
    </x:row>
    <x:row r="14" ht="21" customHeight="1">
      <x:c r="A14" s="556"/>
      <x:c r="B14" s="556"/>
      <x:c r="C14" s="556"/>
      <x:c r="D14" s="556"/>
      <x:c r="E14" s="556"/>
      <x:c r="F14" s="556"/>
      <x:c r="G14" s="556"/>
      <x:c r="H14" s="556"/>
      <x:c r="I14" s="556"/>
    </x:row>
    <x:row r="15" ht="21" customHeight="1">
      <x:c r="A15" s="568" t="str">
        <x:v>PRE-ROOM CHECK • Open all three Day 3 Excel files in desktop Excel. Confirm Developer tab / macros are allowed, and test the Post-Assessment link before 09:00.</x:v>
      </x:c>
      <x:c r="B15" s="568"/>
      <x:c r="C15" s="568"/>
      <x:c r="D15" s="568"/>
      <x:c r="E15" s="568"/>
      <x:c r="F15" s="568"/>
      <x:c r="G15" s="568"/>
      <x:c r="H15" s="568"/>
      <x:c r="I15" s="568"/>
    </x:row>
    <x:row r="16" ht="21" customHeight="1">
      <x:c r="A16" s="568"/>
      <x:c r="B16" s="568"/>
      <x:c r="C16" s="568"/>
      <x:c r="D16" s="568"/>
      <x:c r="E16" s="568"/>
      <x:c r="F16" s="568"/>
      <x:c r="G16" s="568"/>
      <x:c r="H16" s="568"/>
      <x:c r="I16" s="568"/>
    </x:row>
    <x:row r="17" ht="21" customHeight="1">
      <x:c r="A17" s="568"/>
      <x:c r="B17" s="568"/>
      <x:c r="C17" s="568"/>
      <x:c r="D17" s="568"/>
      <x:c r="E17" s="568"/>
      <x:c r="F17" s="568"/>
      <x:c r="G17" s="568"/>
      <x:c r="H17" s="568"/>
      <x:c r="I17" s="568"/>
    </x:row>
    <x:row r="18" ht="21" customHeight="1">
      <x:c r="A18" s="556"/>
      <x:c r="B18" s="556"/>
      <x:c r="C18" s="556"/>
      <x:c r="D18" s="556"/>
      <x:c r="E18" s="556"/>
      <x:c r="F18" s="556"/>
      <x:c r="G18" s="556"/>
      <x:c r="H18" s="556"/>
      <x:c r="I18" s="556"/>
    </x:row>
    <x:row r="19" ht="21" customHeight="1">
      <x:c r="A19" s="556"/>
      <x:c r="B19" s="556"/>
      <x:c r="C19" s="556"/>
      <x:c r="D19" s="556"/>
      <x:c r="E19" s="556"/>
      <x:c r="F19" s="556"/>
      <x:c r="G19" s="556"/>
      <x:c r="H19" s="556"/>
      <x:c r="I19" s="556"/>
    </x:row>
    <x:row r="20" ht="21" customHeight="1">
      <x:c r="A20" s="588" t="str">
        <x:v>FINAL CHALLENGE RULE • Do not explain the checklist item-by-item. Let the checklist keep them oriented.</x:v>
      </x:c>
      <x:c r="B20" s="588"/>
      <x:c r="C20" s="588"/>
      <x:c r="D20" s="588"/>
      <x:c r="E20" s="588"/>
      <x:c r="F20" s="588"/>
      <x:c r="G20" s="588"/>
      <x:c r="H20" s="588"/>
      <x:c r="I20" s="588"/>
    </x:row>
    <x:row r="21" ht="21" customHeight="1">
      <x:c r="A21" s="588"/>
      <x:c r="B21" s="588"/>
      <x:c r="C21" s="588"/>
      <x:c r="D21" s="588"/>
      <x:c r="E21" s="588"/>
      <x:c r="F21" s="588"/>
      <x:c r="G21" s="588"/>
      <x:c r="H21" s="588"/>
      <x:c r="I21" s="588"/>
    </x:row>
    <x:row r="22" ht="21" customHeight="1">
      <x:c r="A22" s="588"/>
      <x:c r="B22" s="588"/>
      <x:c r="C22" s="588"/>
      <x:c r="D22" s="588"/>
      <x:c r="E22" s="588"/>
      <x:c r="F22" s="588"/>
      <x:c r="G22" s="588"/>
      <x:c r="H22" s="588"/>
      <x:c r="I22" s="588"/>
    </x:row>
    <x:row r="23" ht="21" customHeight="1">
      <x:c r="A23" s="556"/>
      <x:c r="B23" s="556"/>
      <x:c r="C23" s="556"/>
      <x:c r="D23" s="556"/>
      <x:c r="E23" s="556"/>
      <x:c r="F23" s="556"/>
      <x:c r="G23" s="556"/>
      <x:c r="H23" s="556"/>
      <x:c r="I23" s="556"/>
    </x:row>
    <x:row r="24" ht="21" customHeight="1">
      <x:c r="A24" s="556"/>
      <x:c r="B24" s="556"/>
      <x:c r="C24" s="556"/>
      <x:c r="D24" s="556"/>
      <x:c r="E24" s="556"/>
      <x:c r="F24" s="556"/>
      <x:c r="G24" s="556"/>
      <x:c r="H24" s="556"/>
      <x:c r="I24" s="556"/>
    </x:row>
    <x:row r="25" ht="21" customHeight="1">
      <x:c r="A25" s="556"/>
      <x:c r="B25" s="556"/>
      <x:c r="C25" s="556"/>
      <x:c r="D25" s="556"/>
      <x:c r="E25" s="556"/>
      <x:c r="F25" s="556"/>
      <x:c r="G25" s="556"/>
      <x:c r="H25" s="556"/>
      <x:c r="I25" s="556"/>
    </x:row>
    <x:row r="26" ht="21" customHeight="1">
      <x:c r="A26" s="556"/>
      <x:c r="B26" s="556"/>
      <x:c r="C26" s="556"/>
      <x:c r="D26" s="556"/>
      <x:c r="E26" s="556"/>
      <x:c r="F26" s="556"/>
      <x:c r="G26" s="556"/>
      <x:c r="H26" s="556"/>
      <x:c r="I26" s="556"/>
    </x:row>
    <x:row r="27" ht="21" customHeight="1">
      <x:c r="A27" s="556"/>
      <x:c r="B27" s="556"/>
      <x:c r="C27" s="556"/>
      <x:c r="D27" s="556"/>
      <x:c r="E27" s="556"/>
      <x:c r="F27" s="556"/>
      <x:c r="G27" s="556"/>
      <x:c r="H27" s="556"/>
      <x:c r="I27" s="556"/>
    </x:row>
    <x:row r="28" ht="21" customHeight="1">
      <x:c r="A28" s="556"/>
      <x:c r="B28" s="556"/>
      <x:c r="C28" s="556"/>
      <x:c r="D28" s="556"/>
      <x:c r="E28" s="556"/>
      <x:c r="F28" s="556"/>
      <x:c r="G28" s="556"/>
      <x:c r="H28" s="556"/>
      <x:c r="I28" s="556"/>
    </x:row>
    <x:row r="29" ht="21" customHeight="1">
      <x:c r="A29" s="556"/>
      <x:c r="B29" s="556"/>
      <x:c r="C29" s="556"/>
      <x:c r="D29" s="556"/>
      <x:c r="E29" s="556"/>
      <x:c r="F29" s="556"/>
      <x:c r="G29" s="556"/>
      <x:c r="H29" s="556"/>
      <x:c r="I29" s="556"/>
    </x:row>
  </x:sheetData>
  <x:mergeCells>
    <x:mergeCell ref="A1:I2"/>
    <x:mergeCell ref="A3:I3"/>
    <x:mergeCell ref="A15:I17"/>
    <x:mergeCell ref="A20:I22"/>
  </x:mergeCells>
  <x:dataValidations count="1">
    <x:dataValidation type="list" sqref="G7:H11">
      <x:formula1>"No,Yes"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38" hidden="0" customWidth="1"/>
    <x:col min="4" max="4" width="3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1" customHeight="1">
      <x:c r="A1" s="560" t="str">
        <x:v>COURSE CLOSEOUT • FINAL 10 MINUTES</x:v>
      </x:c>
      <x:c r="B1" s="560"/>
      <x:c r="C1" s="560"/>
      <x:c r="D1" s="560"/>
      <x:c r="E1" s="560"/>
      <x:c r="F1" s="560"/>
      <x:c r="G1" s="560"/>
      <x:c r="H1" s="560"/>
    </x:row>
    <x:row r="2" ht="21" customHeight="1">
      <x:c r="A2" s="560"/>
      <x:c r="B2" s="560"/>
      <x:c r="C2" s="560"/>
      <x:c r="D2" s="560"/>
      <x:c r="E2" s="560"/>
      <x:c r="F2" s="560"/>
      <x:c r="G2" s="560"/>
      <x:c r="H2" s="560"/>
    </x:row>
    <x:row r="3" ht="21" customHeight="1">
      <x:c r="A3" s="564" t="str">
        <x:v>اختم الرحلة، مش بس الدورة</x:v>
      </x:c>
      <x:c r="B3" s="564"/>
      <x:c r="C3" s="564"/>
      <x:c r="D3" s="564"/>
      <x:c r="E3" s="564"/>
      <x:c r="F3" s="564"/>
      <x:c r="G3" s="564"/>
      <x:c r="H3" s="564"/>
    </x:row>
    <x:row r="4" ht="21" customHeight="1">
      <x:c r="A4" s="556"/>
      <x:c r="B4" s="556"/>
      <x:c r="C4" s="556"/>
      <x:c r="D4" s="556"/>
      <x:c r="E4" s="556"/>
      <x:c r="F4" s="556"/>
      <x:c r="G4" s="556"/>
      <x:c r="H4" s="556"/>
    </x:row>
    <x:row r="5" ht="21" customHeight="1">
      <x:c r="A5" s="556"/>
      <x:c r="B5" s="556"/>
      <x:c r="C5" s="556"/>
      <x:c r="D5" s="556"/>
      <x:c r="E5" s="556"/>
      <x:c r="F5" s="556"/>
      <x:c r="G5" s="556"/>
      <x:c r="H5" s="556"/>
    </x:row>
    <x:row r="6" ht="21" customHeight="1">
      <x:c r="A6" s="591" t="str">
        <x:v>START WITH THIS QUESTION
“لو وصلك كل شهر 5,000 row وبدك Dashboard يتحدث ويتفلتر ويكون محمي... شو بتعمل؟”</x:v>
      </x:c>
      <x:c r="B6" s="591"/>
      <x:c r="C6" s="591"/>
      <x:c r="D6" s="591"/>
      <x:c r="E6" s="591"/>
      <x:c r="F6" s="591"/>
      <x:c r="G6" s="591"/>
      <x:c r="H6" s="591"/>
    </x:row>
    <x:row r="7" ht="21" customHeight="1">
      <x:c r="A7" s="591"/>
      <x:c r="B7" s="591"/>
      <x:c r="C7" s="591"/>
      <x:c r="D7" s="591"/>
      <x:c r="E7" s="591"/>
      <x:c r="F7" s="591"/>
      <x:c r="G7" s="591"/>
      <x:c r="H7" s="591"/>
    </x:row>
    <x:row r="8" ht="21" customHeight="1">
      <x:c r="A8" s="591"/>
      <x:c r="B8" s="591"/>
      <x:c r="C8" s="591"/>
      <x:c r="D8" s="591"/>
      <x:c r="E8" s="591"/>
      <x:c r="F8" s="591"/>
      <x:c r="G8" s="591"/>
      <x:c r="H8" s="591"/>
    </x:row>
    <x:row r="9" ht="21" customHeight="1">
      <x:c r="A9" s="556"/>
      <x:c r="B9" s="556"/>
      <x:c r="C9" s="556"/>
      <x:c r="D9" s="556"/>
      <x:c r="E9" s="556"/>
      <x:c r="F9" s="556"/>
      <x:c r="G9" s="556"/>
      <x:c r="H9" s="556"/>
    </x:row>
    <x:row r="10" ht="21" customHeight="1">
      <x:c r="A10" s="556"/>
      <x:c r="B10" s="556"/>
      <x:c r="C10" s="556"/>
      <x:c r="D10" s="556"/>
      <x:c r="E10" s="556"/>
      <x:c r="F10" s="556"/>
      <x:c r="G10" s="556"/>
      <x:c r="H10" s="556"/>
    </x:row>
    <x:row r="11" ht="48" customHeight="1">
      <x:c r="A11" s="571" t="str">
        <x:v>STEP</x:v>
      </x:c>
      <x:c r="B11" s="571" t="str">
        <x:v>THE JOURNEY</x:v>
      </x:c>
      <x:c r="C11" s="571" t="str">
        <x:v>WHAT IT SOLVES</x:v>
      </x:c>
      <x:c r="D11" s="571" t="str">
        <x:v>ASK THEM</x:v>
      </x:c>
      <x:c r="E11" s="556"/>
      <x:c r="F11" s="556"/>
      <x:c r="G11" s="556"/>
      <x:c r="H11" s="556"/>
    </x:row>
    <x:row r="12" ht="48" customHeight="1">
      <x:c r="A12" s="583" t="n">
        <x:v>1</x:v>
      </x:c>
      <x:c r="B12" s="574" t="str">
        <x:v>Advanced Formulas</x:v>
      </x:c>
      <x:c r="C12" s="573" t="str">
        <x:v>Row / rule logic</x:v>
      </x:c>
      <x:c r="D12" s="593" t="str">
        <x:v>كيف خليت القرار يدخل بالمعادلة؟</x:v>
      </x:c>
      <x:c r="E12" s="556"/>
      <x:c r="F12" s="556"/>
      <x:c r="G12" s="556"/>
      <x:c r="H12" s="556"/>
    </x:row>
    <x:row r="13" ht="48" customHeight="1">
      <x:c r="A13" s="583" t="n">
        <x:v>2</x:v>
      </x:c>
      <x:c r="B13" s="574" t="str">
        <x:v>XLOOKUP + Dynamic Arrays</x:v>
      </x:c>
      <x:c r="C13" s="573" t="str">
        <x:v>Find + return + live lists</x:v>
      </x:c>
      <x:c r="D13" s="593" t="str">
        <x:v>كيف بطلت تدور يدوي؟</x:v>
      </x:c>
      <x:c r="E13" s="556"/>
      <x:c r="F13" s="556"/>
      <x:c r="G13" s="556"/>
      <x:c r="H13" s="556"/>
    </x:row>
    <x:row r="14" ht="48" customHeight="1">
      <x:c r="A14" s="583" t="n">
        <x:v>3</x:v>
      </x:c>
      <x:c r="B14" s="574" t="str">
        <x:v>Text + Date</x:v>
      </x:c>
      <x:c r="C14" s="573" t="str">
        <x:v>Clean / parse / calculate time</x:v>
      </x:c>
      <x:c r="D14" s="593" t="str">
        <x:v>كيف حولت النص والتاريخ لبيانات قابلة للتحليل؟</x:v>
      </x:c>
      <x:c r="E14" s="556"/>
      <x:c r="F14" s="556"/>
      <x:c r="G14" s="556"/>
      <x:c r="H14" s="556"/>
    </x:row>
    <x:row r="15" ht="48" customHeight="1">
      <x:c r="A15" s="583" t="n">
        <x:v>4</x:v>
      </x:c>
      <x:c r="B15" s="574" t="str">
        <x:v>PivotTable</x:v>
      </x:c>
      <x:c r="C15" s="573" t="str">
        <x:v>Fast summary</x:v>
      </x:c>
      <x:c r="D15" s="593" t="str">
        <x:v>كيف حولت آلاف الصفوف لتقرير؟</x:v>
      </x:c>
      <x:c r="E15" s="556"/>
      <x:c r="F15" s="556"/>
      <x:c r="G15" s="556"/>
      <x:c r="H15" s="556"/>
    </x:row>
    <x:row r="16" ht="48" customHeight="1">
      <x:c r="A16" s="583" t="n">
        <x:v>5</x:v>
      </x:c>
      <x:c r="B16" s="574" t="str">
        <x:v>Power Query</x:v>
      </x:c>
      <x:c r="C16" s="573" t="str">
        <x:v>Repeatable data preparation</x:v>
      </x:c>
      <x:c r="D16" s="593" t="str">
        <x:v>كيف بطلت تنظف كل شهر من الصفر؟</x:v>
      </x:c>
      <x:c r="E16" s="556"/>
      <x:c r="F16" s="556"/>
      <x:c r="G16" s="556"/>
      <x:c r="H16" s="556"/>
    </x:row>
    <x:row r="17" ht="48" customHeight="1">
      <x:c r="A17" s="583" t="n">
        <x:v>6</x:v>
      </x:c>
      <x:c r="B17" s="574" t="str">
        <x:v>CF + Validation</x:v>
      </x:c>
      <x:c r="C17" s="573" t="str">
        <x:v>Alerts + input control</x:v>
      </x:c>
      <x:c r="D17" s="593" t="str">
        <x:v>كيف خليت Excel ينبهك ويمنع الأخطاء؟</x:v>
      </x:c>
      <x:c r="E17" s="556"/>
      <x:c r="F17" s="556"/>
      <x:c r="G17" s="556"/>
      <x:c r="H17" s="556"/>
    </x:row>
    <x:row r="18" ht="48" customHeight="1">
      <x:c r="A18" s="583" t="n">
        <x:v>7</x:v>
      </x:c>
      <x:c r="B18" s="574" t="str">
        <x:v>Dashboard</x:v>
      </x:c>
      <x:c r="C18" s="573" t="str">
        <x:v>Management view</x:v>
      </x:c>
      <x:c r="D18" s="593" t="str">
        <x:v>كيف حولت التقرير لقصة واضحة؟</x:v>
      </x:c>
      <x:c r="E18" s="556"/>
      <x:c r="F18" s="556"/>
      <x:c r="G18" s="556"/>
      <x:c r="H18" s="556"/>
    </x:row>
    <x:row r="19" ht="48" customHeight="1">
      <x:c r="A19" s="583" t="n">
        <x:v>8</x:v>
      </x:c>
      <x:c r="B19" s="574" t="str">
        <x:v>Macro + Protection</x:v>
      </x:c>
      <x:c r="C19" s="573" t="str">
        <x:v>Repeat + protect</x:v>
      </x:c>
      <x:c r="D19" s="593" t="str">
        <x:v>كيف خليت الملف يعمل خطوات ويحمي نفسه؟</x:v>
      </x:c>
      <x:c r="E19" s="556"/>
      <x:c r="F19" s="556"/>
      <x:c r="G19" s="556"/>
      <x:c r="H19" s="556"/>
    </x:row>
    <x:row r="20" ht="21" customHeight="1">
      <x:c r="A20" s="556"/>
      <x:c r="B20" s="556"/>
      <x:c r="C20" s="556"/>
      <x:c r="D20" s="556"/>
      <x:c r="E20" s="556"/>
      <x:c r="F20" s="556"/>
      <x:c r="G20" s="556"/>
      <x:c r="H20" s="556"/>
    </x:row>
    <x:row r="21" ht="21" customHeight="1">
      <x:c r="A21" s="556"/>
      <x:c r="B21" s="556"/>
      <x:c r="C21" s="556"/>
      <x:c r="D21" s="556"/>
      <x:c r="E21" s="556"/>
      <x:c r="F21" s="556"/>
      <x:c r="G21" s="556"/>
      <x:c r="H21" s="556"/>
    </x:row>
    <x:row r="22" ht="21" customHeight="1">
      <x:c r="A22" s="556"/>
      <x:c r="B22" s="556"/>
      <x:c r="C22" s="556"/>
      <x:c r="D22" s="556"/>
      <x:c r="E22" s="556"/>
      <x:c r="F22" s="556"/>
      <x:c r="G22" s="556"/>
      <x:c r="H22" s="556"/>
    </x:row>
    <x:row r="23" ht="21" customHeight="1">
      <x:c r="A23" s="596" t="str">
        <x:v>FINAL LINE • Data → Logic → Clean → Analyze → Visualize → Automate → Decide</x:v>
      </x:c>
      <x:c r="B23" s="596"/>
      <x:c r="C23" s="596"/>
      <x:c r="D23" s="596"/>
      <x:c r="E23" s="596"/>
      <x:c r="F23" s="596"/>
      <x:c r="G23" s="596"/>
      <x:c r="H23" s="596"/>
    </x:row>
    <x:row r="24" ht="21" customHeight="1">
      <x:c r="A24" s="596"/>
      <x:c r="B24" s="596"/>
      <x:c r="C24" s="596"/>
      <x:c r="D24" s="596"/>
      <x:c r="E24" s="596"/>
      <x:c r="F24" s="596"/>
      <x:c r="G24" s="596"/>
      <x:c r="H24" s="596"/>
    </x:row>
    <x:row r="25" ht="21" customHeight="1">
      <x:c r="A25" s="596"/>
      <x:c r="B25" s="596"/>
      <x:c r="C25" s="596"/>
      <x:c r="D25" s="596"/>
      <x:c r="E25" s="596"/>
      <x:c r="F25" s="596"/>
      <x:c r="G25" s="596"/>
      <x:c r="H25" s="596"/>
    </x:row>
    <x:row r="26" ht="21" customHeight="1">
      <x:c r="A26" s="556"/>
      <x:c r="B26" s="556"/>
      <x:c r="C26" s="556"/>
      <x:c r="D26" s="556"/>
      <x:c r="E26" s="556"/>
      <x:c r="F26" s="556"/>
      <x:c r="G26" s="556"/>
      <x:c r="H26" s="556"/>
    </x:row>
    <x:row r="27" ht="21" customHeight="1">
      <x:c r="A27" s="556"/>
      <x:c r="B27" s="556"/>
      <x:c r="C27" s="556"/>
      <x:c r="D27" s="556"/>
      <x:c r="E27" s="556"/>
      <x:c r="F27" s="556"/>
      <x:c r="G27" s="556"/>
      <x:c r="H27" s="556"/>
    </x:row>
    <x:row r="28" ht="21" customHeight="1">
      <x:c r="A28" s="599" t="str">
        <x:v>لا تختم بـ Thank You فقط. خليهم هم يحكوا شو تغير بطريقة شغلهم.</x:v>
      </x:c>
      <x:c r="B28" s="599"/>
      <x:c r="C28" s="599"/>
      <x:c r="D28" s="599"/>
      <x:c r="E28" s="599"/>
      <x:c r="F28" s="599"/>
      <x:c r="G28" s="599"/>
      <x:c r="H28" s="599"/>
    </x:row>
    <x:row r="29" ht="21" customHeight="1">
      <x:c r="A29" s="599"/>
      <x:c r="B29" s="599"/>
      <x:c r="C29" s="599"/>
      <x:c r="D29" s="599"/>
      <x:c r="E29" s="599"/>
      <x:c r="F29" s="599"/>
      <x:c r="G29" s="599"/>
      <x:c r="H29" s="599"/>
    </x:row>
    <x:row r="30" ht="21" customHeight="1">
      <x:c r="A30" s="599"/>
      <x:c r="B30" s="599"/>
      <x:c r="C30" s="599"/>
      <x:c r="D30" s="599"/>
      <x:c r="E30" s="599"/>
      <x:c r="F30" s="599"/>
      <x:c r="G30" s="599"/>
      <x:c r="H30" s="599"/>
    </x:row>
    <x:row r="31" ht="21" customHeight="1">
      <x:c r="A31" s="556"/>
      <x:c r="B31" s="556"/>
      <x:c r="C31" s="556"/>
      <x:c r="D31" s="556"/>
      <x:c r="E31" s="556"/>
      <x:c r="F31" s="556"/>
      <x:c r="G31" s="556"/>
      <x:c r="H31" s="556"/>
    </x:row>
    <x:row r="32" ht="21" customHeight="1">
      <x:c r="A32" s="556"/>
      <x:c r="B32" s="556"/>
      <x:c r="C32" s="556"/>
      <x:c r="D32" s="556"/>
      <x:c r="E32" s="556"/>
      <x:c r="F32" s="556"/>
      <x:c r="G32" s="556"/>
      <x:c r="H32" s="556"/>
    </x:row>
    <x:row r="33" ht="21" customHeight="1">
      <x:c r="A33" s="556"/>
      <x:c r="B33" s="556"/>
      <x:c r="C33" s="556"/>
      <x:c r="D33" s="556"/>
      <x:c r="E33" s="556"/>
      <x:c r="F33" s="556"/>
      <x:c r="G33" s="556"/>
      <x:c r="H33" s="556"/>
    </x:row>
    <x:row r="34" ht="21" customHeight="1">
      <x:c r="A34" s="556"/>
      <x:c r="B34" s="556"/>
      <x:c r="C34" s="556"/>
      <x:c r="D34" s="556"/>
      <x:c r="E34" s="556"/>
      <x:c r="F34" s="556"/>
      <x:c r="G34" s="556"/>
      <x:c r="H34" s="556"/>
    </x:row>
    <x:row r="35" ht="21" customHeight="1">
      <x:c r="A35" s="556"/>
      <x:c r="B35" s="556"/>
      <x:c r="C35" s="556"/>
      <x:c r="D35" s="556"/>
      <x:c r="E35" s="556"/>
      <x:c r="F35" s="556"/>
      <x:c r="G35" s="556"/>
      <x:c r="H35" s="556"/>
    </x:row>
    <x:row r="36" ht="21" customHeight="1">
      <x:c r="A36" s="556"/>
      <x:c r="B36" s="556"/>
      <x:c r="C36" s="556"/>
      <x:c r="D36" s="556"/>
      <x:c r="E36" s="556"/>
      <x:c r="F36" s="556"/>
      <x:c r="G36" s="556"/>
      <x:c r="H36" s="556"/>
    </x:row>
    <x:row r="37" ht="21" customHeight="1">
      <x:c r="A37" s="556"/>
      <x:c r="B37" s="556"/>
      <x:c r="C37" s="556"/>
      <x:c r="D37" s="556"/>
      <x:c r="E37" s="556"/>
      <x:c r="F37" s="556"/>
      <x:c r="G37" s="556"/>
      <x:c r="H37" s="556"/>
    </x:row>
    <x:row r="38" ht="21" customHeight="1">
      <x:c r="A38" s="556"/>
      <x:c r="B38" s="556"/>
      <x:c r="C38" s="556"/>
      <x:c r="D38" s="556"/>
      <x:c r="E38" s="556"/>
      <x:c r="F38" s="556"/>
      <x:c r="G38" s="556"/>
      <x:c r="H38" s="556"/>
    </x:row>
  </x:sheetData>
  <x:mergeCells>
    <x:mergeCell ref="A1:H2"/>
    <x:mergeCell ref="A3:H3"/>
    <x:mergeCell ref="A6:H8"/>
    <x:mergeCell ref="A23:H25"/>
    <x:mergeCell ref="A28:H3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36" hidden="0" customWidth="1"/>
    <x:col min="9" max="9" width="30" hidden="0" customWidth="1"/>
    <x:col min="10" max="10" width="28" hidden="0" customWidth="1"/>
  </x:cols>
  <x:sheetData>
    <x:row r="1" ht="21" customHeight="1">
      <x:c r="A1" s="560" t="str">
        <x:v>POST-COURSE TRAINER REPORT • CODERZ × ORANGE JORDAN</x:v>
      </x:c>
      <x:c r="B1" s="560"/>
      <x:c r="C1" s="560"/>
      <x:c r="D1" s="560"/>
      <x:c r="E1" s="560"/>
      <x:c r="F1" s="560"/>
      <x:c r="G1" s="560"/>
      <x:c r="H1" s="560"/>
      <x:c r="I1" s="560"/>
      <x:c r="J1" s="560"/>
    </x:row>
    <x:row r="2" ht="21" customHeight="1">
      <x:c r="A2" s="560"/>
      <x:c r="B2" s="560"/>
      <x:c r="C2" s="560"/>
      <x:c r="D2" s="560"/>
      <x:c r="E2" s="560"/>
      <x:c r="F2" s="560"/>
      <x:c r="G2" s="560"/>
      <x:c r="H2" s="560"/>
      <x:c r="I2" s="560"/>
      <x:c r="J2" s="560"/>
    </x:row>
    <x:row r="3" ht="21" customHeight="1">
      <x:c r="A3" s="564" t="str">
        <x:v>قالب جاهز للتسليم بعد الدورة</x:v>
      </x:c>
      <x:c r="B3" s="564"/>
      <x:c r="C3" s="564"/>
      <x:c r="D3" s="564"/>
      <x:c r="E3" s="564"/>
      <x:c r="F3" s="564"/>
      <x:c r="G3" s="564"/>
      <x:c r="H3" s="564"/>
      <x:c r="I3" s="564"/>
      <x:c r="J3" s="564"/>
    </x:row>
    <x:row r="4" ht="21" customHeight="1">
      <x:c r="A4" s="556"/>
      <x:c r="B4" s="556"/>
      <x:c r="C4" s="556"/>
      <x:c r="D4" s="556"/>
      <x:c r="E4" s="556"/>
      <x:c r="F4" s="556"/>
      <x:c r="G4" s="556"/>
      <x:c r="H4" s="556"/>
      <x:c r="I4" s="556"/>
      <x:c r="J4" s="556"/>
    </x:row>
    <x:row r="5" ht="21" customHeight="1">
      <x:c r="A5" s="568" t="str">
        <x:v>Use after the course to summarize attendance, Pre vs Post scores, observations and recommendations.</x:v>
      </x:c>
      <x:c r="B5" s="568"/>
      <x:c r="C5" s="568"/>
      <x:c r="D5" s="568"/>
      <x:c r="E5" s="568"/>
      <x:c r="F5" s="568"/>
      <x:c r="G5" s="568"/>
      <x:c r="H5" s="568"/>
      <x:c r="I5" s="568"/>
      <x:c r="J5" s="568"/>
    </x:row>
    <x:row r="6" ht="21" customHeight="1">
      <x:c r="A6" s="568"/>
      <x:c r="B6" s="568"/>
      <x:c r="C6" s="568"/>
      <x:c r="D6" s="568"/>
      <x:c r="E6" s="568"/>
      <x:c r="F6" s="568"/>
      <x:c r="G6" s="568"/>
      <x:c r="H6" s="568"/>
      <x:c r="I6" s="568"/>
      <x:c r="J6" s="568"/>
    </x:row>
    <x:row r="7" ht="21" customHeight="1">
      <x:c r="A7" s="556"/>
      <x:c r="B7" s="556"/>
      <x:c r="C7" s="556"/>
      <x:c r="D7" s="556"/>
      <x:c r="E7" s="556"/>
      <x:c r="F7" s="556"/>
      <x:c r="G7" s="556"/>
      <x:c r="H7" s="556"/>
      <x:c r="I7" s="556"/>
      <x:c r="J7" s="556"/>
    </x:row>
    <x:row r="8" ht="21" customHeight="1">
      <x:c r="A8" s="556"/>
      <x:c r="B8" s="556"/>
      <x:c r="C8" s="556"/>
      <x:c r="D8" s="556"/>
      <x:c r="E8" s="556"/>
      <x:c r="F8" s="556"/>
      <x:c r="G8" s="556"/>
      <x:c r="H8" s="556"/>
      <x:c r="I8" s="556"/>
      <x:c r="J8" s="556"/>
    </x:row>
    <x:row r="9" ht="34" customHeight="1">
      <x:c r="A9" s="571" t="str">
        <x:v>#</x:v>
      </x:c>
      <x:c r="B9" s="571" t="str">
        <x:v>Participant</x:v>
      </x:c>
      <x:c r="C9" s="571" t="str">
        <x:v>Pre Score /15</x:v>
      </x:c>
      <x:c r="D9" s="571" t="str">
        <x:v>Post Score /15</x:v>
      </x:c>
      <x:c r="E9" s="571" t="str">
        <x:v>Gain</x:v>
      </x:c>
      <x:c r="F9" s="571" t="str">
        <x:v>Attendance %</x:v>
      </x:c>
      <x:c r="G9" s="571" t="str">
        <x:v>Level After</x:v>
      </x:c>
      <x:c r="H9" s="571" t="str">
        <x:v>Strength</x:v>
      </x:c>
      <x:c r="I9" s="571" t="str">
        <x:v>Needs Follow-up</x:v>
      </x:c>
      <x:c r="J9" s="571" t="str">
        <x:v>Trainer Note</x:v>
      </x:c>
    </x:row>
    <x:row r="10" ht="34" customHeight="1">
      <x:c r="A10" s="573" t="n">
        <x:v>1</x:v>
      </x:c>
      <x:c r="B10" s="585" t="str"/>
      <x:c r="C10" s="585" t="str"/>
      <x:c r="D10" s="585" t="str"/>
      <x:c r="E10" s="573" t="str">
        <x:f>IF(OR(C10="",D10=""),"",D10-C10)</x:f>
      </x:c>
      <x:c r="F10" s="600" t="str"/>
      <x:c r="G10" s="573" t="str">
        <x:f>IF(D10="","",IF(D10&lt;=5,"Beginner",IF(D10&lt;=10,"Intermediate","Advanced")))</x:f>
      </x:c>
      <x:c r="H10" s="573" t="str"/>
      <x:c r="I10" s="573" t="str"/>
      <x:c r="J10" s="573" t="str"/>
    </x:row>
    <x:row r="11" ht="34" customHeight="1">
      <x:c r="A11" s="573" t="n">
        <x:v>2</x:v>
      </x:c>
      <x:c r="B11" s="585" t="str"/>
      <x:c r="C11" s="585" t="str"/>
      <x:c r="D11" s="585" t="str"/>
      <x:c r="E11" s="573" t="str">
        <x:f>IF(OR(C11="",D11=""),"",D11-C11)</x:f>
      </x:c>
      <x:c r="F11" s="600" t="str"/>
      <x:c r="G11" s="573" t="str">
        <x:f>IF(D11="","",IF(D11&lt;=5,"Beginner",IF(D11&lt;=10,"Intermediate","Advanced")))</x:f>
      </x:c>
      <x:c r="H11" s="573" t="str"/>
      <x:c r="I11" s="573" t="str"/>
      <x:c r="J11" s="573" t="str"/>
    </x:row>
    <x:row r="12" ht="34" customHeight="1">
      <x:c r="A12" s="573" t="n">
        <x:v>3</x:v>
      </x:c>
      <x:c r="B12" s="585" t="str"/>
      <x:c r="C12" s="585" t="str"/>
      <x:c r="D12" s="585" t="str"/>
      <x:c r="E12" s="573" t="str">
        <x:f>IF(OR(C12="",D12=""),"",D12-C12)</x:f>
      </x:c>
      <x:c r="F12" s="600" t="str"/>
      <x:c r="G12" s="573" t="str">
        <x:f>IF(D12="","",IF(D12&lt;=5,"Beginner",IF(D12&lt;=10,"Intermediate","Advanced")))</x:f>
      </x:c>
      <x:c r="H12" s="573" t="str"/>
      <x:c r="I12" s="573" t="str"/>
      <x:c r="J12" s="573" t="str"/>
    </x:row>
    <x:row r="13" ht="34" customHeight="1">
      <x:c r="A13" s="573" t="n">
        <x:v>4</x:v>
      </x:c>
      <x:c r="B13" s="585" t="str"/>
      <x:c r="C13" s="585" t="str"/>
      <x:c r="D13" s="585" t="str"/>
      <x:c r="E13" s="573" t="str">
        <x:f>IF(OR(C13="",D13=""),"",D13-C13)</x:f>
      </x:c>
      <x:c r="F13" s="600" t="str"/>
      <x:c r="G13" s="573" t="str">
        <x:f>IF(D13="","",IF(D13&lt;=5,"Beginner",IF(D13&lt;=10,"Intermediate","Advanced")))</x:f>
      </x:c>
      <x:c r="H13" s="573" t="str"/>
      <x:c r="I13" s="573" t="str"/>
      <x:c r="J13" s="573" t="str"/>
    </x:row>
    <x:row r="14" ht="34" customHeight="1">
      <x:c r="A14" s="573" t="n">
        <x:v>5</x:v>
      </x:c>
      <x:c r="B14" s="585" t="str"/>
      <x:c r="C14" s="585" t="str"/>
      <x:c r="D14" s="585" t="str"/>
      <x:c r="E14" s="573" t="str">
        <x:f>IF(OR(C14="",D14=""),"",D14-C14)</x:f>
      </x:c>
      <x:c r="F14" s="600" t="str"/>
      <x:c r="G14" s="573" t="str">
        <x:f>IF(D14="","",IF(D14&lt;=5,"Beginner",IF(D14&lt;=10,"Intermediate","Advanced")))</x:f>
      </x:c>
      <x:c r="H14" s="573" t="str"/>
      <x:c r="I14" s="573" t="str"/>
      <x:c r="J14" s="573" t="str"/>
    </x:row>
    <x:row r="15" ht="34" customHeight="1">
      <x:c r="A15" s="573" t="n">
        <x:v>6</x:v>
      </x:c>
      <x:c r="B15" s="585" t="str"/>
      <x:c r="C15" s="585" t="str"/>
      <x:c r="D15" s="585" t="str"/>
      <x:c r="E15" s="573" t="str">
        <x:f>IF(OR(C15="",D15=""),"",D15-C15)</x:f>
      </x:c>
      <x:c r="F15" s="600" t="str"/>
      <x:c r="G15" s="573" t="str">
        <x:f>IF(D15="","",IF(D15&lt;=5,"Beginner",IF(D15&lt;=10,"Intermediate","Advanced")))</x:f>
      </x:c>
      <x:c r="H15" s="573" t="str"/>
      <x:c r="I15" s="573" t="str"/>
      <x:c r="J15" s="573" t="str"/>
    </x:row>
    <x:row r="16" ht="34" customHeight="1">
      <x:c r="A16" s="573" t="n">
        <x:v>7</x:v>
      </x:c>
      <x:c r="B16" s="585" t="str"/>
      <x:c r="C16" s="585" t="str"/>
      <x:c r="D16" s="585" t="str"/>
      <x:c r="E16" s="573" t="str">
        <x:f>IF(OR(C16="",D16=""),"",D16-C16)</x:f>
      </x:c>
      <x:c r="F16" s="600" t="str"/>
      <x:c r="G16" s="573" t="str">
        <x:f>IF(D16="","",IF(D16&lt;=5,"Beginner",IF(D16&lt;=10,"Intermediate","Advanced")))</x:f>
      </x:c>
      <x:c r="H16" s="573" t="str"/>
      <x:c r="I16" s="573" t="str"/>
      <x:c r="J16" s="573" t="str"/>
    </x:row>
    <x:row r="17" ht="34" customHeight="1">
      <x:c r="A17" s="573" t="n">
        <x:v>8</x:v>
      </x:c>
      <x:c r="B17" s="585" t="str"/>
      <x:c r="C17" s="585" t="str"/>
      <x:c r="D17" s="585" t="str"/>
      <x:c r="E17" s="573" t="str">
        <x:f>IF(OR(C17="",D17=""),"",D17-C17)</x:f>
      </x:c>
      <x:c r="F17" s="600" t="str"/>
      <x:c r="G17" s="573" t="str">
        <x:f>IF(D17="","",IF(D17&lt;=5,"Beginner",IF(D17&lt;=10,"Intermediate","Advanced")))</x:f>
      </x:c>
      <x:c r="H17" s="573" t="str"/>
      <x:c r="I17" s="573" t="str"/>
      <x:c r="J17" s="573" t="str"/>
    </x:row>
    <x:row r="18" ht="34" customHeight="1">
      <x:c r="A18" s="573" t="n">
        <x:v>9</x:v>
      </x:c>
      <x:c r="B18" s="585" t="str"/>
      <x:c r="C18" s="585" t="str"/>
      <x:c r="D18" s="585" t="str"/>
      <x:c r="E18" s="573" t="str">
        <x:f>IF(OR(C18="",D18=""),"",D18-C18)</x:f>
      </x:c>
      <x:c r="F18" s="600" t="str"/>
      <x:c r="G18" s="573" t="str">
        <x:f>IF(D18="","",IF(D18&lt;=5,"Beginner",IF(D18&lt;=10,"Intermediate","Advanced")))</x:f>
      </x:c>
      <x:c r="H18" s="573" t="str"/>
      <x:c r="I18" s="573" t="str"/>
      <x:c r="J18" s="573" t="str"/>
    </x:row>
    <x:row r="19" ht="34" customHeight="1">
      <x:c r="A19" s="573" t="n">
        <x:v>10</x:v>
      </x:c>
      <x:c r="B19" s="585" t="str"/>
      <x:c r="C19" s="585" t="str"/>
      <x:c r="D19" s="585" t="str"/>
      <x:c r="E19" s="573" t="str">
        <x:f>IF(OR(C19="",D19=""),"",D19-C19)</x:f>
      </x:c>
      <x:c r="F19" s="600" t="str"/>
      <x:c r="G19" s="573" t="str">
        <x:f>IF(D19="","",IF(D19&lt;=5,"Beginner",IF(D19&lt;=10,"Intermediate","Advanced")))</x:f>
      </x:c>
      <x:c r="H19" s="573" t="str"/>
      <x:c r="I19" s="573" t="str"/>
      <x:c r="J19" s="573" t="str"/>
    </x:row>
    <x:row r="20" ht="34" customHeight="1">
      <x:c r="A20" s="573" t="n">
        <x:v>11</x:v>
      </x:c>
      <x:c r="B20" s="585" t="str"/>
      <x:c r="C20" s="585" t="str"/>
      <x:c r="D20" s="585" t="str"/>
      <x:c r="E20" s="573" t="str">
        <x:f>IF(OR(C20="",D20=""),"",D20-C20)</x:f>
      </x:c>
      <x:c r="F20" s="600" t="str"/>
      <x:c r="G20" s="573" t="str">
        <x:f>IF(D20="","",IF(D20&lt;=5,"Beginner",IF(D20&lt;=10,"Intermediate","Advanced")))</x:f>
      </x:c>
      <x:c r="H20" s="573" t="str"/>
      <x:c r="I20" s="573" t="str"/>
      <x:c r="J20" s="573" t="str"/>
    </x:row>
    <x:row r="21" ht="34" customHeight="1">
      <x:c r="A21" s="573" t="n">
        <x:v>12</x:v>
      </x:c>
      <x:c r="B21" s="585" t="str"/>
      <x:c r="C21" s="585" t="str"/>
      <x:c r="D21" s="585" t="str"/>
      <x:c r="E21" s="573" t="str">
        <x:f>IF(OR(C21="",D21=""),"",D21-C21)</x:f>
      </x:c>
      <x:c r="F21" s="600" t="str"/>
      <x:c r="G21" s="573" t="str">
        <x:f>IF(D21="","",IF(D21&lt;=5,"Beginner",IF(D21&lt;=10,"Intermediate","Advanced")))</x:f>
      </x:c>
      <x:c r="H21" s="573" t="str"/>
      <x:c r="I21" s="573" t="str"/>
      <x:c r="J21" s="573" t="str"/>
    </x:row>
    <x:row r="22" ht="34" customHeight="1">
      <x:c r="A22" s="573" t="n">
        <x:v>13</x:v>
      </x:c>
      <x:c r="B22" s="585" t="str"/>
      <x:c r="C22" s="585" t="str"/>
      <x:c r="D22" s="585" t="str"/>
      <x:c r="E22" s="573" t="str">
        <x:f>IF(OR(C22="",D22=""),"",D22-C22)</x:f>
      </x:c>
      <x:c r="F22" s="600" t="str"/>
      <x:c r="G22" s="573" t="str">
        <x:f>IF(D22="","",IF(D22&lt;=5,"Beginner",IF(D22&lt;=10,"Intermediate","Advanced")))</x:f>
      </x:c>
      <x:c r="H22" s="573" t="str"/>
      <x:c r="I22" s="573" t="str"/>
      <x:c r="J22" s="573" t="str"/>
    </x:row>
    <x:row r="23" ht="34" customHeight="1">
      <x:c r="A23" s="573" t="n">
        <x:v>14</x:v>
      </x:c>
      <x:c r="B23" s="585" t="str"/>
      <x:c r="C23" s="585" t="str"/>
      <x:c r="D23" s="585" t="str"/>
      <x:c r="E23" s="573" t="str">
        <x:f>IF(OR(C23="",D23=""),"",D23-C23)</x:f>
      </x:c>
      <x:c r="F23" s="600" t="str"/>
      <x:c r="G23" s="573" t="str">
        <x:f>IF(D23="","",IF(D23&lt;=5,"Beginner",IF(D23&lt;=10,"Intermediate","Advanced")))</x:f>
      </x:c>
      <x:c r="H23" s="573" t="str"/>
      <x:c r="I23" s="573" t="str"/>
      <x:c r="J23" s="573" t="str"/>
    </x:row>
    <x:row r="24" ht="34" customHeight="1">
      <x:c r="A24" s="573" t="n">
        <x:v>15</x:v>
      </x:c>
      <x:c r="B24" s="585" t="str"/>
      <x:c r="C24" s="585" t="str"/>
      <x:c r="D24" s="585" t="str"/>
      <x:c r="E24" s="573" t="str">
        <x:f>IF(OR(C24="",D24=""),"",D24-C24)</x:f>
      </x:c>
      <x:c r="F24" s="600" t="str"/>
      <x:c r="G24" s="573" t="str">
        <x:f>IF(D24="","",IF(D24&lt;=5,"Beginner",IF(D24&lt;=10,"Intermediate","Advanced")))</x:f>
      </x:c>
      <x:c r="H24" s="573" t="str"/>
      <x:c r="I24" s="573" t="str"/>
      <x:c r="J24" s="573" t="str"/>
    </x:row>
    <x:row r="25" ht="34" customHeight="1">
      <x:c r="A25" s="573" t="n">
        <x:v>16</x:v>
      </x:c>
      <x:c r="B25" s="585" t="str"/>
      <x:c r="C25" s="585" t="str"/>
      <x:c r="D25" s="585" t="str"/>
      <x:c r="E25" s="573" t="str">
        <x:f>IF(OR(C25="",D25=""),"",D25-C25)</x:f>
      </x:c>
      <x:c r="F25" s="600" t="str"/>
      <x:c r="G25" s="573" t="str">
        <x:f>IF(D25="","",IF(D25&lt;=5,"Beginner",IF(D25&lt;=10,"Intermediate","Advanced")))</x:f>
      </x:c>
      <x:c r="H25" s="573" t="str"/>
      <x:c r="I25" s="573" t="str"/>
      <x:c r="J25" s="573" t="str"/>
    </x:row>
    <x:row r="26" ht="34" customHeight="1">
      <x:c r="A26" s="573" t="n">
        <x:v>17</x:v>
      </x:c>
      <x:c r="B26" s="585" t="str"/>
      <x:c r="C26" s="585" t="str"/>
      <x:c r="D26" s="585" t="str"/>
      <x:c r="E26" s="573" t="str">
        <x:f>IF(OR(C26="",D26=""),"",D26-C26)</x:f>
      </x:c>
      <x:c r="F26" s="600" t="str"/>
      <x:c r="G26" s="573" t="str">
        <x:f>IF(D26="","",IF(D26&lt;=5,"Beginner",IF(D26&lt;=10,"Intermediate","Advanced")))</x:f>
      </x:c>
      <x:c r="H26" s="573" t="str"/>
      <x:c r="I26" s="573" t="str"/>
      <x:c r="J26" s="573" t="str"/>
    </x:row>
    <x:row r="27" ht="34" customHeight="1">
      <x:c r="A27" s="573" t="n">
        <x:v>18</x:v>
      </x:c>
      <x:c r="B27" s="585" t="str"/>
      <x:c r="C27" s="585" t="str"/>
      <x:c r="D27" s="585" t="str"/>
      <x:c r="E27" s="573" t="str">
        <x:f>IF(OR(C27="",D27=""),"",D27-C27)</x:f>
      </x:c>
      <x:c r="F27" s="600" t="str"/>
      <x:c r="G27" s="573" t="str">
        <x:f>IF(D27="","",IF(D27&lt;=5,"Beginner",IF(D27&lt;=10,"Intermediate","Advanced")))</x:f>
      </x:c>
      <x:c r="H27" s="573" t="str"/>
      <x:c r="I27" s="573" t="str"/>
      <x:c r="J27" s="573" t="str"/>
    </x:row>
    <x:row r="28" ht="34" customHeight="1">
      <x:c r="A28" s="573" t="n">
        <x:v>19</x:v>
      </x:c>
      <x:c r="B28" s="585" t="str"/>
      <x:c r="C28" s="585" t="str"/>
      <x:c r="D28" s="585" t="str"/>
      <x:c r="E28" s="573" t="str">
        <x:f>IF(OR(C28="",D28=""),"",D28-C28)</x:f>
      </x:c>
      <x:c r="F28" s="600" t="str"/>
      <x:c r="G28" s="573" t="str">
        <x:f>IF(D28="","",IF(D28&lt;=5,"Beginner",IF(D28&lt;=10,"Intermediate","Advanced")))</x:f>
      </x:c>
      <x:c r="H28" s="573" t="str"/>
      <x:c r="I28" s="573" t="str"/>
      <x:c r="J28" s="573" t="str"/>
    </x:row>
    <x:row r="29" ht="34" customHeight="1">
      <x:c r="A29" s="573" t="n">
        <x:v>20</x:v>
      </x:c>
      <x:c r="B29" s="585" t="str"/>
      <x:c r="C29" s="585" t="str"/>
      <x:c r="D29" s="585" t="str"/>
      <x:c r="E29" s="573" t="str">
        <x:f>IF(OR(C29="",D29=""),"",D29-C29)</x:f>
      </x:c>
      <x:c r="F29" s="600" t="str"/>
      <x:c r="G29" s="573" t="str">
        <x:f>IF(D29="","",IF(D29&lt;=5,"Beginner",IF(D29&lt;=10,"Intermediate","Advanced")))</x:f>
      </x:c>
      <x:c r="H29" s="573" t="str"/>
      <x:c r="I29" s="573" t="str"/>
      <x:c r="J29" s="573" t="str"/>
    </x:row>
    <x:row r="30" ht="21" customHeight="1">
      <x:c r="A30" s="556"/>
      <x:c r="B30" s="556"/>
      <x:c r="C30" s="556"/>
      <x:c r="D30" s="556"/>
      <x:c r="E30" s="556"/>
      <x:c r="F30" s="556"/>
      <x:c r="G30" s="556"/>
      <x:c r="H30" s="556"/>
      <x:c r="I30" s="556"/>
      <x:c r="J30" s="556"/>
    </x:row>
    <x:row r="31" ht="21" customHeight="1">
      <x:c r="A31" s="556"/>
      <x:c r="B31" s="556"/>
      <x:c r="C31" s="556"/>
      <x:c r="D31" s="556"/>
      <x:c r="E31" s="556"/>
      <x:c r="F31" s="556"/>
      <x:c r="G31" s="556"/>
      <x:c r="H31" s="556"/>
      <x:c r="I31" s="556"/>
      <x:c r="J31" s="556"/>
    </x:row>
    <x:row r="32" ht="21" customHeight="1">
      <x:c r="A32" s="556"/>
      <x:c r="B32" s="556"/>
      <x:c r="C32" s="556"/>
      <x:c r="D32" s="556"/>
      <x:c r="E32" s="556"/>
      <x:c r="F32" s="556"/>
      <x:c r="G32" s="556"/>
      <x:c r="H32" s="556"/>
      <x:c r="I32" s="556"/>
      <x:c r="J32" s="556"/>
    </x:row>
    <x:row r="33" ht="21" customHeight="1">
      <x:c r="A33" s="583" t="str">
        <x:v>COURSE METRICS</x:v>
      </x:c>
      <x:c r="B33" s="583"/>
      <x:c r="C33" s="583"/>
      <x:c r="D33" s="583" t="str">
        <x:v>TRAINER OBSERVATIONS</x:v>
      </x:c>
      <x:c r="E33" s="583"/>
      <x:c r="F33" s="583"/>
      <x:c r="G33" s="583" t="str">
        <x:v>RECOMMENDATIONS / NEXT STEPS</x:v>
      </x:c>
      <x:c r="H33" s="583"/>
      <x:c r="I33" s="583"/>
      <x:c r="J33" s="583"/>
    </x:row>
    <x:row r="34" ht="21" customHeight="1">
      <x:c r="A34" s="556"/>
      <x:c r="B34" s="556"/>
      <x:c r="C34" s="556"/>
      <x:c r="D34" s="556"/>
      <x:c r="E34" s="556"/>
      <x:c r="F34" s="556"/>
      <x:c r="G34" s="556"/>
      <x:c r="H34" s="556"/>
      <x:c r="I34" s="556"/>
      <x:c r="J34" s="556"/>
    </x:row>
    <x:row r="35" ht="30" customHeight="1">
      <x:c r="A35" s="571" t="str">
        <x:v>Metric</x:v>
      </x:c>
      <x:c r="B35" s="571" t="str">
        <x:v>Value</x:v>
      </x:c>
      <x:c r="C35" s="556"/>
      <x:c r="D35" s="602"/>
      <x:c r="E35" s="602"/>
      <x:c r="F35" s="602"/>
      <x:c r="G35" s="602"/>
      <x:c r="H35" s="602"/>
      <x:c r="I35" s="602"/>
      <x:c r="J35" s="602"/>
    </x:row>
    <x:row r="36" ht="30" customHeight="1">
      <x:c r="A36" s="573" t="str">
        <x:v>Participants</x:v>
      </x:c>
      <x:c r="B36" s="573" t="n">
        <x:f>COUNT(B10:B29)</x:f>
        <x:v>0</x:v>
      </x:c>
      <x:c r="C36" s="556"/>
      <x:c r="D36" s="602"/>
      <x:c r="E36" s="602"/>
      <x:c r="F36" s="602"/>
      <x:c r="G36" s="602"/>
      <x:c r="H36" s="602"/>
      <x:c r="I36" s="602"/>
      <x:c r="J36" s="602"/>
    </x:row>
    <x:row r="37" ht="30" customHeight="1">
      <x:c r="A37" s="573" t="str">
        <x:v>Average Pre</x:v>
      </x:c>
      <x:c r="B37" s="601" t="n">
        <x:f>IFERROR(AVERAGE(C10:C29),0)</x:f>
        <x:v>0</x:v>
      </x:c>
      <x:c r="C37" s="556"/>
      <x:c r="D37" s="602"/>
      <x:c r="E37" s="602"/>
      <x:c r="F37" s="602"/>
      <x:c r="G37" s="602"/>
      <x:c r="H37" s="602"/>
      <x:c r="I37" s="602"/>
      <x:c r="J37" s="602"/>
    </x:row>
    <x:row r="38" ht="30" customHeight="1">
      <x:c r="A38" s="573" t="str">
        <x:v>Average Post</x:v>
      </x:c>
      <x:c r="B38" s="601" t="n">
        <x:f>IFERROR(AVERAGE(D10:D29),0)</x:f>
        <x:v>0</x:v>
      </x:c>
      <x:c r="C38" s="556"/>
      <x:c r="D38" s="602"/>
      <x:c r="E38" s="602"/>
      <x:c r="F38" s="602"/>
      <x:c r="G38" s="602"/>
      <x:c r="H38" s="602"/>
      <x:c r="I38" s="602"/>
      <x:c r="J38" s="602"/>
    </x:row>
    <x:row r="39" ht="30" customHeight="1">
      <x:c r="A39" s="573" t="str">
        <x:v>Average Gain</x:v>
      </x:c>
      <x:c r="B39" s="601" t="n">
        <x:f>IFERROR(AVERAGE(E10:E29),0)</x:f>
        <x:v>0</x:v>
      </x:c>
      <x:c r="C39" s="556"/>
      <x:c r="D39" s="602"/>
      <x:c r="E39" s="602"/>
      <x:c r="F39" s="602"/>
      <x:c r="G39" s="602"/>
      <x:c r="H39" s="602"/>
      <x:c r="I39" s="602"/>
      <x:c r="J39" s="602"/>
    </x:row>
    <x:row r="40" ht="21" customHeight="1">
      <x:c r="A40" s="556"/>
      <x:c r="B40" s="556"/>
      <x:c r="C40" s="556"/>
      <x:c r="D40" s="556"/>
      <x:c r="E40" s="556"/>
      <x:c r="F40" s="556"/>
      <x:c r="G40" s="556"/>
      <x:c r="H40" s="556"/>
      <x:c r="I40" s="556"/>
      <x:c r="J40" s="556"/>
    </x:row>
    <x:row r="41" ht="21" customHeight="1">
      <x:c r="A41" s="556"/>
      <x:c r="B41" s="556"/>
      <x:c r="C41" s="556"/>
      <x:c r="D41" s="556"/>
      <x:c r="E41" s="556"/>
      <x:c r="F41" s="556"/>
      <x:c r="G41" s="556"/>
      <x:c r="H41" s="556"/>
      <x:c r="I41" s="556"/>
      <x:c r="J41" s="556"/>
    </x:row>
    <x:row r="42" ht="21" customHeight="1">
      <x:c r="A42" s="605" t="str">
        <x:v>Suggested report language: What improved? What remained weak? Which skills should Orange reinforce after the course? Keep comments evidence-based and practical.</x:v>
      </x:c>
      <x:c r="B42" s="605"/>
      <x:c r="C42" s="605"/>
      <x:c r="D42" s="605"/>
      <x:c r="E42" s="605"/>
      <x:c r="F42" s="605"/>
      <x:c r="G42" s="605"/>
      <x:c r="H42" s="605"/>
      <x:c r="I42" s="605"/>
      <x:c r="J42" s="605"/>
    </x:row>
    <x:row r="43" ht="21" customHeight="1">
      <x:c r="A43" s="605"/>
      <x:c r="B43" s="605"/>
      <x:c r="C43" s="605"/>
      <x:c r="D43" s="605"/>
      <x:c r="E43" s="605"/>
      <x:c r="F43" s="605"/>
      <x:c r="G43" s="605"/>
      <x:c r="H43" s="605"/>
      <x:c r="I43" s="605"/>
      <x:c r="J43" s="605"/>
    </x:row>
    <x:row r="44" ht="21" customHeight="1">
      <x:c r="A44" s="605"/>
      <x:c r="B44" s="605"/>
      <x:c r="C44" s="605"/>
      <x:c r="D44" s="605"/>
      <x:c r="E44" s="605"/>
      <x:c r="F44" s="605"/>
      <x:c r="G44" s="605"/>
      <x:c r="H44" s="605"/>
      <x:c r="I44" s="605"/>
      <x:c r="J44" s="605"/>
    </x:row>
    <x:row r="45" ht="21" customHeight="1">
      <x:c r="A45" s="556"/>
      <x:c r="B45" s="556"/>
      <x:c r="C45" s="556"/>
      <x:c r="D45" s="556"/>
      <x:c r="E45" s="556"/>
      <x:c r="F45" s="556"/>
      <x:c r="G45" s="556"/>
      <x:c r="H45" s="556"/>
      <x:c r="I45" s="556"/>
      <x:c r="J45" s="556"/>
    </x:row>
    <x:row r="46" ht="21" customHeight="1">
      <x:c r="A46" s="556"/>
      <x:c r="B46" s="556"/>
      <x:c r="C46" s="556"/>
      <x:c r="D46" s="556"/>
      <x:c r="E46" s="556"/>
      <x:c r="F46" s="556"/>
      <x:c r="G46" s="556"/>
      <x:c r="H46" s="556"/>
      <x:c r="I46" s="556"/>
      <x:c r="J46" s="556"/>
    </x:row>
  </x:sheetData>
  <x:mergeCells>
    <x:mergeCell ref="A1:J2"/>
    <x:mergeCell ref="A3:J3"/>
    <x:mergeCell ref="A5:J6"/>
    <x:mergeCell ref="A33:C33"/>
    <x:mergeCell ref="D33:F33"/>
    <x:mergeCell ref="G33:J33"/>
    <x:mergeCell ref="A42:J44"/>
  </x:mergeCells>
  <x:pageMargins left="0.7" right="0.7" top="0.75" bottom="0.75" header="0.3" footer="0.3"/>
</x:worksheet>
</file>